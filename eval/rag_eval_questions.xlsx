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Инструкция" sheetId="1" state="visible" r:id="rId3"/>
    <sheet name="Прогоны" sheetId="2" state="visible" r:id="rId4"/>
    <sheet name="Вопросы 1" sheetId="3" state="visible" r:id="rId5"/>
    <sheet name="Вопросы 2" sheetId="4" state="visible" r:id="rId6"/>
    <sheet name="Вопросы 3" sheetId="5" state="visible" r:id="rId7"/>
    <sheet name="Вопросы 4" sheetId="6" state="visible" r:id="rId8"/>
    <sheet name="Вопросы 5" sheetId="7" state="visible" r:id="rId9"/>
    <sheet name="Вопросы 6" sheetId="8" state="visible" r:id="rId10"/>
    <sheet name="Вопросы 7" sheetId="9" state="visible" r:id="rId11"/>
    <sheet name="Вопросы 8" sheetId="10" state="visible" r:id="rId12"/>
  </sheets>
  <definedNames>
    <definedName function="false" hidden="true" localSheetId="2" name="_xlnm._FilterDatabase" vbProcedure="false">'Вопросы 1'!$A$1:$K$16</definedName>
    <definedName function="false" hidden="true" localSheetId="3" name="_xlnm._FilterDatabase" vbProcedure="false">'Вопросы 2'!$A$1:$K$16</definedName>
    <definedName function="false" hidden="true" localSheetId="4" name="_xlnm._FilterDatabase" vbProcedure="false">'Вопросы 3'!$A$1:$K$16</definedName>
    <definedName function="false" hidden="true" localSheetId="5" name="_xlnm._FilterDatabase" vbProcedure="false">'Вопросы 4'!$A$1:$K$16</definedName>
    <definedName function="false" hidden="true" localSheetId="6" name="_xlnm._FilterDatabase" vbProcedure="false">'Вопросы 5'!$A$1:$K$16</definedName>
    <definedName function="false" hidden="true" localSheetId="7" name="_xlnm._FilterDatabase" vbProcedure="false">'Вопросы 6'!$A$1:$K$16</definedName>
    <definedName function="false" hidden="true" localSheetId="8" name="_xlnm._FilterDatabase" vbProcedure="false">'Вопросы 7'!$A$1:$K$16</definedName>
    <definedName function="false" hidden="true" localSheetId="9" name="_xlnm._FilterDatabase" vbProcedure="false">'Вопросы 8'!$A$1:$K$16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6" authorId="0">
      <text>
        <r>
          <rPr>
            <sz val="10"/>
            <rFont val="Arial"/>
            <family val="2"/>
          </rPr>
          <t xml:space="preserve">Было: 0. Исправлено по правилу ключевых фактов/источников.</t>
        </r>
      </text>
    </comment>
    <comment ref="I10" authorId="0">
      <text>
        <r>
          <rPr>
            <sz val="10"/>
            <rFont val="Arial"/>
            <family val="2"/>
          </rPr>
          <t xml:space="preserve">Было: 1. Исправлено по правилу ключевых фактов/источников.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" authorId="0">
      <text>
        <r>
          <rPr>
            <sz val="10"/>
            <rFont val="Arial"/>
            <family val="2"/>
          </rPr>
          <t xml:space="preserve">Было: 0. Исправлено по правилу ключевых фактов/источников.</t>
        </r>
      </text>
    </comment>
    <comment ref="H6" authorId="0">
      <text>
        <r>
          <rPr>
            <sz val="10"/>
            <rFont val="Arial"/>
            <family val="2"/>
          </rPr>
          <t xml:space="preserve">Было: 0. Исправлено по правилу ключевых фактов/источников.</t>
        </r>
      </text>
    </comment>
  </commentList>
</comments>
</file>

<file path=xl/sharedStrings.xml><?xml version="1.0" encoding="utf-8"?>
<sst xmlns="http://schemas.openxmlformats.org/spreadsheetml/2006/main" count="918" uniqueCount="200">
  <si>
    <t xml:space="preserve">Набор вопросов для оценки RAG-бота (ООО «ТехноЛайн», вымышленные документы)</t>
  </si>
  <si>
    <t xml:space="preserve">Как заполнять</t>
  </si>
  <si>
    <t xml:space="preserve">1. Перед прогоном запишите конфигурацию на листе «Прогоны» (модель, Chunk Size, Overlap, Limit).</t>
  </si>
  <si>
    <t xml:space="preserve">2. На листе «Вопросы» задавайте каждый вопрос в НОВОЙ сессии чата. Исключение — вопросы 1 и 15 (одна сессия s01, подряд).</t>
  </si>
  <si>
    <t xml:space="preserve">3. Заполняйте только жёлтые колонки: фактический ответ, три оценки (0 или 1) и комментарий.</t>
  </si>
  <si>
    <t xml:space="preserve">4. Итоги внизу листа «Вопросы» считаются автоматически — перенесите их в строку прогона на листе «Прогоны».</t>
  </si>
  <si>
    <t xml:space="preserve">5. Для следующего прогона сделайте копию листа «Вопросы» (ПКМ по вкладке → Переместить/скопировать) и очистите жёлтые колонки.</t>
  </si>
  <si>
    <t xml:space="preserve">Правила оценки (0 или 1)</t>
  </si>
  <si>
    <t xml:space="preserve">correct — все ключевые факты эталона есть и нет неверных. Частично верный ответ = 0, причина в комментарии.</t>
  </si>
  <si>
    <t xml:space="preserve">source_ok — верные файл и страница; для вопросов 9–11 нужны все источники; для 12–14 ссылки на источник быть не должно.</t>
  </si>
  <si>
    <t xml:space="preserve">no_hallucination — нет фактов, которых нет в документах (в №14 «5 дней на обучение» = 0).</t>
  </si>
  <si>
    <t xml:space="preserve">Что писать в комментарий при ошибке</t>
  </si>
  <si>
    <t xml:space="preserve">«не вызван инструмент» — проблема промпта/описания инструмента</t>
  </si>
  <si>
    <t xml:space="preserve">«фрагмент не найден» — проблема поиска: размер фрагмента, top-k</t>
  </si>
  <si>
    <t xml:space="preserve">«фрагмент найден, ответ неверный» — проблема модели</t>
  </si>
  <si>
    <t xml:space="preserve">Пример заполненной строки (вопрос 9)</t>
  </si>
  <si>
    <t xml:space="preserve">Фактический ответ: «Можно до 30 дней в году, нужно согласовать с HR и ИБ за 10 рабочих дней». Источник: politika_udalennoy_raboty.pdf, стр. 3</t>
  </si>
  <si>
    <t xml:space="preserve">Оценки: correct = 0, source_ok = 0, no_hallucination = 1. Комментарий: «фрагмент не найден: нет VPN (it_faq.pdf, стр. 2), top-k мал?»</t>
  </si>
  <si>
    <t xml:space="preserve">Ключевые факты (что обязательно для correct = 1)</t>
  </si>
  <si>
    <t xml:space="preserve">Детали эталона сверх вопроса (кто утверждает, категория заявки и т.п.) не обязательны — их отсутствие не делает ответ неверным.</t>
  </si>
  <si>
    <t xml:space="preserve">1: 28 дней · 2: до 15 декабря · 3: ≥12 символов и каждые 90 дней · 4: вторник и четверг · 5: 4 рабочих часа</t>
  </si>
  <si>
    <t xml:space="preserve">6: не позднее чем за 3 дня до начала · 7: да, один монитор по акту · 8: позвонить на 4444</t>
  </si>
  <si>
    <t xml:space="preserve">9: ≤30 дней в году + согласование HR и ИБ за 10 раб. дней + только VPN + как получить VPN (it_faq, стр. 2)</t>
  </si>
  <si>
    <t xml:space="preserve">10: 14 календарных дней и 1 рабочий день · 11: после испытательного срока по согласованию + 1 500 ₽/мес</t>
  </si>
  <si>
    <t xml:space="preserve">12–14: отказ без выдуманных фактов · 15: 2,33 дня за полный месяц</t>
  </si>
  <si>
    <t xml:space="preserve">source_ok: ответ без номера страницы = 0 (PDF-загрузчик передаёт страницу в метаданных).</t>
  </si>
  <si>
    <t xml:space="preserve">Прогон</t>
  </si>
  <si>
    <t xml:space="preserve">Дата</t>
  </si>
  <si>
    <t xml:space="preserve">Модель</t>
  </si>
  <si>
    <t xml:space="preserve">Chunk Size</t>
  </si>
  <si>
    <t xml:space="preserve">Overlap</t>
  </si>
  <si>
    <t xml:space="preserve">Limit (top-k)</t>
  </si>
  <si>
    <t xml:space="preserve">correct</t>
  </si>
  <si>
    <t xml:space="preserve">source_ok</t>
  </si>
  <si>
    <t xml:space="preserve">no_hallucination</t>
  </si>
  <si>
    <t xml:space="preserve">Сумма (из 45)</t>
  </si>
  <si>
    <t xml:space="preserve">Выводы</t>
  </si>
  <si>
    <t xml:space="preserve">пример</t>
  </si>
  <si>
    <t xml:space="preserve">05.10.2026</t>
  </si>
  <si>
    <t xml:space="preserve">gemini-3.5-flash-lite</t>
  </si>
  <si>
    <t xml:space="preserve">Лучший результат. Единственная ошибка поиска — №9 (второй документ не найден). №14: источник при отказе.</t>
  </si>
  <si>
    <t xml:space="preserve">Поиск почти не изменился (№9 хуже — VPN пропал). Начала пропадать страница в источнике (3 случая).</t>
  </si>
  <si>
    <t xml:space="preserve">Хуже всего: №8 не найден (перефразирование), страницы теряются или неверны в 10 из 15. Мелкие фрагменты не подходят.</t>
  </si>
  <si>
    <t xml:space="preserve">Как прогон 1 (42). Даже 2 фрагментов хватило: база маленькая, вопросы в основном «один факт — одна страница». Ошибки те же: №9 и источник при отказе в №14.</t>
  </si>
  <si>
    <t xml:space="preserve">43 — лучший, но +1 только за №14 (случайность модели). №9 не исправился даже при 8 из ~10–12 фрагментов базы → проблема не в поиске, а в модели/запросе агента.</t>
  </si>
  <si>
    <t xml:space="preserve">gemini-3.6-flash</t>
  </si>
  <si>
    <t xml:space="preserve">42 — не лучше flash-lite, при цене в ~5 раз выше. №9 не исправлен, появилась ошибка в имени файла и Markdown. Вывод: проблемы в промпте/поведении агента, а не в модели. Остаёмся на flash-lite.</t>
  </si>
  <si>
    <t xml:space="preserve">43. Промпт v2: источник при отказе, искажение имени файла и Markdown исчезли. №9 не исправлен.</t>
  </si>
  <si>
    <t xml:space="preserve">43 — результат повторился ответ в ответ: конфигурация стабильна. ИТОГОВАЯ КОНФИГУРАЦИЯ.</t>
  </si>
  <si>
    <t xml:space="preserve">Жёлтые ячейки заполняются после каждого прогона. «лучший» — подставьте значение из лучшего предыдущего прогона. Строка «пример» показывает формат.</t>
  </si>
  <si>
    <t xml:space="preserve">№</t>
  </si>
  <si>
    <t xml:space="preserve">Категория</t>
  </si>
  <si>
    <t xml:space="preserve">Сессия</t>
  </si>
  <si>
    <t xml:space="preserve">Вопрос</t>
  </si>
  <si>
    <t xml:space="preserve">Эталонный ответ</t>
  </si>
  <si>
    <t xml:space="preserve">Ожидаемый источник</t>
  </si>
  <si>
    <t xml:space="preserve">Фактический ответ</t>
  </si>
  <si>
    <t xml:space="preserve">Комментарий</t>
  </si>
  <si>
    <t xml:space="preserve">прямой факт</t>
  </si>
  <si>
    <t xml:space="preserve">s01</t>
  </si>
  <si>
    <t xml:space="preserve">Сколько календарных дней длится основной ежегодный отпуск?</t>
  </si>
  <si>
    <t xml:space="preserve">28 календарных дней.</t>
  </si>
  <si>
    <t xml:space="preserve">reglament_otpuskov.pdf, стр. 1</t>
  </si>
  <si>
    <t xml:space="preserve">Продолжительность ежегодного основного оплачиваемого отпуска составляет 28 календарных дней.
Источник: reglament_otpuskov.pdf, стр. 1</t>
  </si>
  <si>
    <t xml:space="preserve">s02</t>
  </si>
  <si>
    <t xml:space="preserve">До какой даты утверждается график отпусков?</t>
  </si>
  <si>
    <t xml:space="preserve">Не позднее 15 декабря текущего года (на следующий год), утверждает генеральный директор.</t>
  </si>
  <si>
    <t xml:space="preserve">reglament_otpuskov.pdf, стр. 2</t>
  </si>
  <si>
    <t xml:space="preserve">График отпусков на следующий календарный год утверждается генеральным директором не позднее 15 декабря текущего года.
Источник: reglament_otpuskov.pdf, стр. 2</t>
  </si>
  <si>
    <t xml:space="preserve">s03</t>
  </si>
  <si>
    <t xml:space="preserve">Какие требования к длине пароля и как часто его нужно менять?</t>
  </si>
  <si>
    <t xml:space="preserve">Не менее 12 символов (заглавные, строчные буквы и цифры); смена каждые 90 дней; нельзя повторять 5 последних паролей.</t>
  </si>
  <si>
    <t xml:space="preserve">it_faq.pdf, стр. 1</t>
  </si>
  <si>
    <t xml:space="preserve">Требования к паролю:
* Пароль должен содержать не менее 12 символов, включая заглавные и строчные буквы и цифры.
* Пароль нужно менять каждые 90 дней.
* Нельзя повторять пять последних паролей.
Источник: it_faq.pdf, стр. 1</t>
  </si>
  <si>
    <t xml:space="preserve">s04</t>
  </si>
  <si>
    <t xml:space="preserve">Какие дни считаются командными при гибридном формате?</t>
  </si>
  <si>
    <t xml:space="preserve">Вторник и четверг — присутствие в офисе обязательно; всего не менее двух офисных дней в неделю.</t>
  </si>
  <si>
    <t xml:space="preserve">politika_udalennoy_raboty.pdf, стр. 1</t>
  </si>
  <si>
    <t xml:space="preserve">При гибридном формате работы вторник и четверг являются командными днями, в которые присутствие в офисе обязательно.
Источник: politika_udalennoy_raboty.pdf, стр. 1</t>
  </si>
  <si>
    <t xml:space="preserve">s05</t>
  </si>
  <si>
    <t xml:space="preserve">Какой срок реакции ServiceDesk на заявку о сломанном ноутбуке?</t>
  </si>
  <si>
    <t xml:space="preserve">4 рабочих часа; заявка в категории «Оборудование».</t>
  </si>
  <si>
    <t xml:space="preserve">it_faq.pdf, стр. 3</t>
  </si>
  <si>
    <t xml:space="preserve">Срок реакции ServiceDesk на заявку о сломанном ноутбуке составляет 4 рабочих часа.
Источник: it_faq.pdf, стр. 3</t>
  </si>
  <si>
    <t xml:space="preserve">перефразирование</t>
  </si>
  <si>
    <t xml:space="preserve">s06</t>
  </si>
  <si>
    <t xml:space="preserve">Когда мне перечислят деньги за отпуск?</t>
  </si>
  <si>
    <t xml:space="preserve">Отпускные перечисляются на зарплатную карту не позднее чем за 3 календарных дня до начала отпуска.</t>
  </si>
  <si>
    <t xml:space="preserve">reglament_otpuskov.pdf, стр. 3</t>
  </si>
  <si>
    <t xml:space="preserve">Оплата отпуска (отпускные) перечисляется на зарплатную карту сотрудника не позднее чем за 3 календарных дня до начала отпуска.
Источник: reglament_otpuskov.pdf, стр. 3</t>
  </si>
  <si>
    <t xml:space="preserve">s07</t>
  </si>
  <si>
    <t xml:space="preserve">Можно забрать экран из офиса, чтобы работать дома?</t>
  </si>
  <si>
    <t xml:space="preserve">Да, сотрудник гибридного или удалённого формата может забрать один монитор по акту передачи оборудования.</t>
  </si>
  <si>
    <t xml:space="preserve">Да, сотрудник гибридного или удалённого формата может забрать домой один монитор из офиса по акту передачи оборудования.
Источник: it_faq.pdf, стр. 3</t>
  </si>
  <si>
    <t xml:space="preserve">s08</t>
  </si>
  <si>
    <t xml:space="preserve">У меня украли смартфон, на котором стоит приложение для входа в почту. Что делать?</t>
  </si>
  <si>
    <t xml:space="preserve">Немедленно позвонить на линию поддержки по внутреннему номеру 4444 (круглосуточно): заблокируют старое устройство и помогут привязать новое.</t>
  </si>
  <si>
    <t xml:space="preserve">it_faq.pdf, стр. 2</t>
  </si>
  <si>
    <t xml:space="preserve">Немедленно позвоните на линию поддержки по внутреннему номеру 4444 (работает круглосуточно). Специалист заблокирует старое устройство и поможет привязать новое.
Источник: it_faq.pdf, стр. 2</t>
  </si>
  <si>
    <t xml:space="preserve">несколько фрагментов</t>
  </si>
  <si>
    <t xml:space="preserve">s09</t>
  </si>
  <si>
    <t xml:space="preserve">Хочу месяц поработать из Испании. Можно ли и что для этого нужно?</t>
  </si>
  <si>
    <t xml:space="preserve">Можно не более 30 календарных дней в году (месяц из 31 дня уже превышает лимит); согласовать с HR и службой ИБ не позднее чем за 10 рабочих дней; подключаться только через VPN (клиент «TL Connect», заявка в ServiceDesk, «Доступы», выдаётся за 1 рабочий день).</t>
  </si>
  <si>
    <t xml:space="preserve">politika_udalennoy_raboty.pdf, стр. 3; it_faq.pdf, стр. 2</t>
  </si>
  <si>
    <t xml:space="preserve">Да, работать из-за рубежа (в том числе из Испании) допускается, но не более 30 календарных дней в течение календарного года. 
Что для этого нужно:
1. Согласовать поездку с HR-отделом и службой информационной безопасности не позднее чем за 10 рабочих дней до её начала.
2. Подключаться к корпоративным системам за пределами офиса только через корпоративный VPN.
Источник: politika_udalennoy_raboty.pdf, стр. 3</t>
  </si>
  <si>
    <t xml:space="preserve">фрагмент не найден: нет it_faq.pdf, стр. 2 (как получить VPN — TL Connect, заявка в ServiceDesk); источник указан только один</t>
  </si>
  <si>
    <t xml:space="preserve">s10</t>
  </si>
  <si>
    <t xml:space="preserve">За сколько нужно подать заявку на отпуск и за сколько — на разовый удалённый день?</t>
  </si>
  <si>
    <t xml:space="preserve">Отпуск — не позднее чем за 14 календарных дней; разовый удалённый день — не позднее чем за 1 рабочий день.</t>
  </si>
  <si>
    <t xml:space="preserve">reglament_otpuskov.pdf, стр. 2; politika_udalennoy_raboty.pdf, стр. 2</t>
  </si>
  <si>
    <t xml:space="preserve">Заявление на отпуск нужно подать в HR-портале не позднее чем за 14 календарных дней до даты начала отпуска. 
Заявка на разовый удалённый день подаётся не позднее чем за 1 рабочий день.
Источники: 
- reglament_otpuskov.pdf, стр. 2
- politika_udalennoy_raboty.pdf, стр. 2</t>
  </si>
  <si>
    <t xml:space="preserve">s11</t>
  </si>
  <si>
    <t xml:space="preserve">Когда можно перейти на полностью удалённую работу и какие компенсации при этом положены?</t>
  </si>
  <si>
    <t xml:space="preserve">После успешного испытательного срока и по согласованию с директором по направлению; компенсация интернета 1 500 руб. в месяц (вместе с зарплатой).</t>
  </si>
  <si>
    <t xml:space="preserve">politika_udalennoy_raboty.pdf, стр. 1; politika_udalennoy_raboty.pdf, стр. 2</t>
  </si>
  <si>
    <t xml:space="preserve">Переход на полностью удалённый формат возможен только после успешного прохождения испытательного срока и по согласованию с директором по направлению. Данный формат фиксируется в дополнительном соглашении к трудовому договору.
При полностью удалённом формате работы компания компенсирует расходы на домашний интернет в размере 1 500 рублей в месяц (компенсация выплачивается вместе с заработной платой).
Источник: politika_udalennoy_raboty.pdf, стр. 1, 2</t>
  </si>
  <si>
    <t xml:space="preserve">вне документов</t>
  </si>
  <si>
    <t xml:space="preserve">s12</t>
  </si>
  <si>
    <t xml:space="preserve">Положен ли сотрудникам полис ДМС?</t>
  </si>
  <si>
    <t xml:space="preserve">Не знаю — в документах нет информации об этом.</t>
  </si>
  <si>
    <t xml:space="preserve">—</t>
  </si>
  <si>
    <t xml:space="preserve">s13</t>
  </si>
  <si>
    <t xml:space="preserve">Сколько стоит парковка у офиса?</t>
  </si>
  <si>
    <t xml:space="preserve">вне документов (ловушка)</t>
  </si>
  <si>
    <t xml:space="preserve">s14</t>
  </si>
  <si>
    <t xml:space="preserve">Сколько дней отпуска без сохранения зарплаты можно взять на обучение?</t>
  </si>
  <si>
    <t xml:space="preserve">В документах нет информации об отпуске на обучение. Допустимо упомянуть, что по семейным обстоятельствам дают до 5 дней, но нельзя выдавать это за ответ про обучение.</t>
  </si>
  <si>
    <t xml:space="preserve">— (рядом: reglament_otpuskov.pdf, стр. 2)</t>
  </si>
  <si>
    <t xml:space="preserve">Не знаю — в документах нет информации об этом.
Источник: reglament_otpuskov.pdf</t>
  </si>
  <si>
    <t xml:space="preserve">ответ верный, но к отказу приложен источник — нарушение правила промпта (не модель и не поиск)</t>
  </si>
  <si>
    <t xml:space="preserve">память (после вопроса 1)</t>
  </si>
  <si>
    <t xml:space="preserve">А для стажёров?</t>
  </si>
  <si>
    <t xml:space="preserve">Пропорционально отработанному времени: 2,33 календарного дня за каждый полный отработанный месяц.</t>
  </si>
  <si>
    <t xml:space="preserve">Стажёрам (сотрудникам по договору стажировки) отпуск предоставляется пропорционально отработанному времени — 2,33 календарного дня за каждый полный отработанный месяц.
Источник: reglament_otpuskov.pdf, стр. 3</t>
  </si>
  <si>
    <t xml:space="preserve">Итого (из 15)</t>
  </si>
  <si>
    <t xml:space="preserve">Доля</t>
  </si>
  <si>
    <t xml:space="preserve">Заполнено</t>
  </si>
  <si>
    <t xml:space="preserve">Основной ежегодный отпуск длится 28 календарных дней.
Источник: reglament_otpuskov.pdf</t>
  </si>
  <si>
    <t xml:space="preserve">страница не указана (файл верный)</t>
  </si>
  <si>
    <t xml:space="preserve">График отпусков утверждается не позднее 15 декабря текущего года.
Источник: reglament_otpuskov.pdf, стр. 2</t>
  </si>
  <si>
    <t xml:space="preserve">Требования к паролю:
* Длина: не менее 12 символов.
* Сложность: должен включать заглавные и строчные буквы, а также цифры.
* Периодичность смены: каждые 90 дней.
* Дополнительно: нельзя повторять пять последних паролей.
Источник: it_faq.pdf, стр. 1</t>
  </si>
  <si>
    <t xml:space="preserve">При гибридном формате командными днями являются вторник и четверг — в эти дни присутствие в офисе обязательно.
Источник: politika_udalennoy_raboty.pdf, стр. 1</t>
  </si>
  <si>
    <t xml:space="preserve">Срок реакции ServiceDesk на заявку о сломанном ноутбуке составляет 4 рабочих часа.
Источник: it_faq.pdf</t>
  </si>
  <si>
    <t xml:space="preserve">Да, сотрудник гибридного или удалённого формата может забрать домой один монитор (экран) из офиса по акту передачи оборудования.
Источник: it_faq.pdf, стр. 3</t>
  </si>
  <si>
    <t xml:space="preserve">Да, поработать из-за рубежа (в том числе из Испании) можно, так как работа из-за пределов Российской Федерации допускается на срок не более 30 календарных дней в течение календарного года. 
Что для этого нужно:
* Согласовать поездку с HR-отделом и службой информационной безопасности.
* Сделать это необходимо не позднее чем за 10 рабочих дней до её начала.
Источник: politika_udalennoy_raboty.pdf, стр. 3</t>
  </si>
  <si>
    <t xml:space="preserve">фрагмент не найден: нет VPN вообще (ни требования, ни it_faq.pdf, стр. 2); источник один</t>
  </si>
  <si>
    <t xml:space="preserve">Заявку на отпуск нужно подать не позднее чем за 14 календарных дней до даты начала отпуска (при переносе отпуска по графику — не позднее чем за 7 календарных дней). 
Заявку на разовый удалённый день нужно подать не позднее чем за 1 рабочий день.
Источники: 
- reglament_otpuskov.pdf, стр. 2
- politika_udalennoy_raboty.pdf, стр. 2</t>
  </si>
  <si>
    <t xml:space="preserve">добавлен срок переноса отпуска (7 дней) — это есть в документе, не галлюцинация</t>
  </si>
  <si>
    <t xml:space="preserve">Перейти на полностью удалённый формат работы можно **только после успешного прохождения испытательного срока** и **по согласованию с директором по направлению**.
При этом сотрудникам полностью удалённого формата компания **компенсирует расходы на домашний интернет в размере 1 500 рублей в месяц** (выплачивается вместе с заработной платой).
Источник: politika_udalennoy_raboty.pdf, стр. 1, 2</t>
  </si>
  <si>
    <t xml:space="preserve">Стажёрам (сотрудникам по договору стажировки) отпуск предоставляется пропорционально отработанному времени — из расчёта 2,33 календарного дня за каждый полный отработанный месяц.
Источник: reglament_otpuskov.pdf</t>
  </si>
  <si>
    <t xml:space="preserve">Основной ежегодный оплачиваемый отпуск длится 28 календарных дней.
Источник: reglament_otpuskov.pdf</t>
  </si>
  <si>
    <t xml:space="preserve">График отпусков утверждается генеральным директором не позднее 15 декабря текущего года.
Источник: reglament_otpuskov.pdf</t>
  </si>
  <si>
    <t xml:space="preserve">Пароль должен содержать не менее 12 символов, включая заглавные и строчные буквы и цифры. Менять его нужно каждые 90 дней.
Источник: it_faq.pdf, стр. 1</t>
  </si>
  <si>
    <t xml:space="preserve">Срок реакции ServiceDesk на заявку о сломанном ноутбуке (в категории «Оборудование») составляет 4 рабочих часа.
Источник: it_faq.pdf</t>
  </si>
  <si>
    <t xml:space="preserve">Да, сотрудник гибридного или удаленного формата может забрать домой один монитор из офиса по акту передачи оборудования.
Источник: it_faq.pdf</t>
  </si>
  <si>
    <t xml:space="preserve">отказ на вопрос с ответом в документах: вероятно, фрагмент не найден (перефразирование + мелкие фрагменты) — проверить в логе search_docs</t>
  </si>
  <si>
    <t xml:space="preserve">Да, поработать из Испании (из-за пределов Российской Федерации) в течение месяца можно. 
Для этого необходимо соблюдать следующие требования:
1. Срок работы из-за рубежа не должен превышать 30 календарных дней в течение календарного года.
2. Поездку необходимо согласовать с HR-отделом и службой информационной безопасности не позднее чем за 10 рабочих дней до её начала.
3. Подключение к корпоративным системам за пределами офиса разрешено только через корпоративный VPN.
Источник: politika_udalennoy_raboty.pdf, стр. 3</t>
  </si>
  <si>
    <t xml:space="preserve">фрагмент не найден: нет it_faq.pdf, стр. 2 (как получить VPN); «в течение месяца можно» без оговорки, что 31 день &gt; лимита</t>
  </si>
  <si>
    <t xml:space="preserve">Заявку на отпуск нужно подать за 14 календарных дней до даты начала отпуска.
Заявку на разовый удалённый день нужно подать не позднее чем за 1 рабочий день.
Источник: reglament_otpuskov.pdf, стр. 1; politika_udalennoy_raboty.pdf, стр. 2</t>
  </si>
  <si>
    <t xml:space="preserve">неверная страница: отпуск — стр. 2, а указана стр. 1</t>
  </si>
  <si>
    <t xml:space="preserve">Переход на полностью удалённый формат возможен только после успешного прохождения испытательного срока и по согласованию с директором по направлению.
Сотрудникам полностью удалённого формата компания компенсирует расходы на домашний интернет в размере 1 500 рублей в месяц (компенсация выплачивается вместе с заработной платой).
Источник: politika_udalennoy_raboty.pdf, стр. 1</t>
  </si>
  <si>
    <t xml:space="preserve">не указана стр. 2 (компенсация интернета), указана только стр. 1</t>
  </si>
  <si>
    <t xml:space="preserve">ответ верный, но к отказу приложен источник — нарушение правила промпта</t>
  </si>
  <si>
    <t xml:space="preserve">Стажёрам (сотрудникам по договору стажировки) отпуск предоставляется пропорционально отработанному времени: 2,33 календарного дня за каждый полный отработанный месяц.
Источник: reglament_otpuskov.pdf</t>
  </si>
  <si>
    <t xml:space="preserve">Требования к паролю:
* Пароль должен содержать не менее 12 символов, включая заглавные и строчные буквы, а также цифры.
* Менять пароль нужно каждые 90 дней.
Источник: it_faq.pdf, стр. 1</t>
  </si>
  <si>
    <t xml:space="preserve">Да, поработать из-за рубежа (в том числе из Испании) можно, но не более 30 календарных дней в течение календарного года. 
Что для этого нужно:
1. Согласовать поездку с HR-отделом и службой информационной безопасности не позднее чем за 10 рабочих дней до её начала.
2. Подключаться к корпоративным системам из-за рубежа разрешено только через корпоративный VPN.
Источник: politika_udalennoy_raboty.pdf, стр. 3</t>
  </si>
  <si>
    <t xml:space="preserve">фрагмент не найден/не использован: нет it_faq.pdf, стр. 2 (как получить VPN); источник один</t>
  </si>
  <si>
    <t xml:space="preserve">Заявление на отпуск подаётся не позднее чем за 14 календарных дней до даты начала отпуска (перенос отпуска по графику — не позднее чем за 7 календарных дней).
Заявка на разовый удалённый день подаётся не позднее чем за 1 рабочий день.
Источник: reglament_otpuskov.pdf, стр. 2; politika_udalennoy_raboty.pdf, стр. 2</t>
  </si>
  <si>
    <t xml:space="preserve">оба документа найдены даже при Limit 2 — агент, видимо, делал два запроса; срок переноса (7 дней) есть в документе</t>
  </si>
  <si>
    <t xml:space="preserve">Переход на полностью удалённый формат возможен только после успешного прохождения испытательного срока и по согласованию с директором по направлению. Сам формат работы фиксируется в дополнительном соглашении к трудовому договору.
При этом сотрудникам полностью удалённого формата компания компенсирует расходы на домашний интернет в размере 1 500 рублей в месяц (выплачивается вместе с заработной платой).
Источник: politika_udalennoy_raboty.pdf, стр. 1, 2</t>
  </si>
  <si>
    <t xml:space="preserve">Стажёрам (сотрудникам по договору стажировки) отпуск предоставляется пропорционально отработанному времени: 2,33 календарного дня за каждый полный отработанный месяц.
Источник: reglament_otpuskov.pdf, стр. 3</t>
  </si>
  <si>
    <t xml:space="preserve">Требования к паролю:
* Длина: не менее 12 символов.
* Состав: должен содержать заглавные и строчные буквы, а также цифры.
* Дополнительное требование: нельзя повторять пять последних паролей.
Периодичность смены:
* Пароль нужно менять каждые 90 дней.
Источник: it_faq.pdf, стр. 1</t>
  </si>
  <si>
    <t xml:space="preserve">Вторник и четверг являются командными днями при гибридном формате — в эти дни присутствие в офисе обязательно.
Источник: politika_udalennoy_raboty.pdf, стр. 1</t>
  </si>
  <si>
    <t xml:space="preserve">Да, работать из-за рубежа (в том числе из Испании) можно, но не более 30 календарных дней в течение календарного года.
Что для этого нужно:
1. Согласовать поездку с HR-отделом и службой информационной безопасности не позднее чем за 10 рабочих дней до её начала.
2. Подключаться к корпоративным системам из-за рубежа только через корпоративный VPN.
Источник: politika_udalennoy_raboty.pdf, стр. 3</t>
  </si>
  <si>
    <t xml:space="preserve">та же ошибка при Limit 8: при ~10–12 фрагментах в базе нужный почти наверняка был в выдаче → модель не использовала его (проверить в логе)</t>
  </si>
  <si>
    <t xml:space="preserve">Заявление на отпуск подаётся не позднее чем за 14 календарных дней до даты начала отпуска. 
Заявка на разовый удалённый день подаётся не позднее чем за 1 рабочий день.
Источник: reglament_otpuskov.pdf, стр. 2; politika_udalennoy_raboty.pdf, стр. 2</t>
  </si>
  <si>
    <t xml:space="preserve">Перевод на полностью удалённый формат возможен только после успешного прохождения испытательного срока и по согласованию с директором по направлению. 
Сотрудникам полностью удалённого формата компания компенсирует расходы на домашний интернет в размере 1 500 рублей в месяц (выплачивается вместе с заработной платой).
Источник: politika_udalennoy_raboty.pdf, стр. 1–2</t>
  </si>
  <si>
    <t xml:space="preserve">источник к отказу не приложен — вероятно, случайность модели, а не эффект Limit</t>
  </si>
  <si>
    <t xml:space="preserve">Пароль должен содержать **не менее 12 символов** (включая заглавные и строчные буквы, а также цифры). 
Менять пароль необходимо **каждые 90 дней**.
Источник: it_faq.pdf, стр. 1</t>
  </si>
  <si>
    <t xml:space="preserve">появилась Markdown-разметка (**…**) — в Telegram отобразится звёздочками</t>
  </si>
  <si>
    <t xml:space="preserve">При гибридном формате командными днями являются **вторник** и **четверг** (в эти дни присутствие в офисе обязательно).
Источник: politika_udalennoy_raboty.pdf, стр. 1</t>
  </si>
  <si>
    <t xml:space="preserve">Срок реакции ServiceDesk на заявку о сломанном ноутбуке (в категории «Оборудование») составляет 4 рабочих часа.
Источник: it_faq.pdf, стр. 3</t>
  </si>
  <si>
    <t xml:space="preserve">Оплата отпуска (отпускные) перечисляется на вашу зарплатную карту не позднее чем за 3 календарных дня до начала отпуска.
Источник: reglament_otpuskov.pdf, стр. 3</t>
  </si>
  <si>
    <t xml:space="preserve">Если вы потеряли телефон с приложением-аутентификатором (или его украли), вам необходимо:
1. Немедленно позвонить на линию поддержки по внутреннему номеру **4444** (работает круглосуточно).
2. Специалист заблокирует старое устройство и поможет привязать новое.
Источник: it_faq.pdf, стр. 2</t>
  </si>
  <si>
    <t xml:space="preserve">Да, поработать из Испании можно. 
Работа из-за пределов РФ допускается не более **30 календарных дней** в течение календарного года.
Для этого необходимо:
1. Согласовать поездку с HR-отделом и службой информационной безопасности **не позднее чем за 10 рабочих дней** до её начала.
2. Подключаться к корпоративным системам за пределами офиса только через **корпоративный VPN**.
Источник: politika_udalennoy_raboty.pdf, стр. 3</t>
  </si>
  <si>
    <t xml:space="preserve">та же ошибка, что у flash-lite: нет it_faq.pdf, стр. 2 (как получить VPN). Более сильная модель не помогла → агент делает один поиск и не ищет связанную тему</t>
  </si>
  <si>
    <t xml:space="preserve">Заявку необходимо подавать в следующие сроки:
* **На отпуск** — не позднее чем за **14 календарных дней** до даты начала отпуска (оформляется в HR-портале).
* **На разовый удалённый день** — не позднее чем за **1 рабочий день** (для сотрудников офисного формата, оформляется в HR-портале).
Источник: reglament_otpuskov.pdf, стр. 2  
Источник: politika_udalennoy_raboty.pdf, стр. 2</t>
  </si>
  <si>
    <t xml:space="preserve">Перейти на полностью удалённый формат работы можно **после успешного прохождения испытательного срока** и по **согласованию с директором по направлению**. Изменение формата фиксируется в дополнительном соглашении к трудовому договору.
При полностью удалённом формате сотрудникам выплачивается **компенсация расходов на домашний интернет в размере 1 500 рублей в месяц** (выплачивается вместе с заработной платой).
Источник: politica_udalennoy_raboty.pdf, стр. 1, 2</t>
  </si>
  <si>
    <t xml:space="preserve">имя файла искажено: politica_… вместо politika_… — модель перепечатывает имя, а не копирует из метаданных</t>
  </si>
  <si>
    <t xml:space="preserve">Пароль должен содержать не менее 12 символов, включая заглавные и строчные буквы и цифры. Менять пароль нужно каждые 90 дней.
Источник: it_faq.pdf, стр. 1</t>
  </si>
  <si>
    <t xml:space="preserve">При гибридном формате работы вторник и четверг являются командными днями, в эти дни присутствие в офисе обязательно.
Источник: politika_udalennoy_raboty.pdf, стр. 1</t>
  </si>
  <si>
    <t xml:space="preserve">Да, поработать из-за рубежа (в том числе из Испании) можно. 
Для этого необходимо соблюдать следующие условия и выполнить требования:
1. Работа из-за пределов Российской Федерации допускается на срок не более 30 календарных дней в течение календарного года.
2. Поездку нужно обязательно согласовать с HR-отделом и службой информационной безопасности не позднее чем за 10 рабочих дней до её начала.
3. При подключении к корпоративным системам за пределами офиса разрешено использовать только корпоративный VPN.
Источник: politika_udalennoy_raboty.pdf, стр. 3</t>
  </si>
  <si>
    <t xml:space="preserve">№9 не исправлен: VPN упомянут как требование, но второго поиска «как получить VPN» нет (проверить в логе число вызовов search_docs)</t>
  </si>
  <si>
    <t xml:space="preserve">Заявление на отпуск нужно подать не позднее чем за 14 календарных дней до даты начала отпуска. Заявка на разовый удаленный день подается не позднее чем за 1 рабочий день.
Источник: reglament_otpuskov.pdf, стр. 2
Источник: politika_udalennoy_raboty.pdf, стр. 2</t>
  </si>
  <si>
    <t xml:space="preserve">Переход на полностью удаленный формат возможен только после успешного прохождения испытательного срока и по согласованию с директором по направлению. Данный формат фиксируется в дополнительном соглашении к трудовому договору.
Сотрудникам полностью удаленного формата компания компенсирует расходы на домашний интернет в размере 1 500 рублей в месяц. Эта компенсация выплачивается вместе с заработной платой.
Источник: politika_udalennoy_raboty.pdf, стр. 1
Источник: politika_udalennoy_raboty.pdf, стр. 2</t>
  </si>
  <si>
    <t xml:space="preserve">отказ без источника — правило 4 нового промпта работает</t>
  </si>
  <si>
    <t xml:space="preserve">При гибридном формате работы вторник и четверг являются командными днями, в это время присутствие в офисе обязательно.
Источник: politika_udalennoy_raboty.pdf, стр. 1</t>
  </si>
  <si>
    <t xml:space="preserve">Оплата отпуска перечисляется на зарплатную карту сотрудника не позднее чем за 3 календарных дня до начала отпуска.
Источник: reglament_otpuskov.pdf, стр. 3</t>
  </si>
  <si>
    <t xml:space="preserve">Да, работать из-за пределов Российской Федерации допускается, но не более 30 календарных дней в течение календарного года.
Для этого необходимо:
1. Согласовать поездку с HR-отделом и службой информационной безопасности не позднее чем за 10 рабочих дней до её начала.
2. Подключаться к корпоративным системам за пределами офиса только через корпоративный VPN.
Источник: politika_udalennoy_raboty.pdf, стр. 3</t>
  </si>
  <si>
    <t xml:space="preserve">Переход на полностью удаленный формат возможен только после успешного прохождения испытательного срока и по согласованию с директором по направлению. Сам формат работы фиксируется в дополнительном соглашении к трудовому договору.
Сотрудникам полностью удаленного формата компания компенсирует расходы на домашний интернет в размере 1 500 рублей в месяц. Эта компенсация выплачивается вместе с заработной платой.
Источник: politika_udalennoy_raboty.pdf, стр. 1
Источник: politika_udalennoy_raboty.pdf, стр.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</si>
</sst>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E4DFEC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EDEDED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5.5" hidden="false" customHeight="tru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25.5" hidden="false" customHeight="tru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20" activeCellId="0" sqref="G2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50"/>
  </cols>
  <sheetData>
    <row r="1" customFormat="false" ht="25.5" hidden="false" customHeight="tru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</row>
    <row r="2" customFormat="false" ht="15" hidden="false" customHeight="false" outlineLevel="0" collapsed="false">
      <c r="A2" s="5" t="s">
        <v>37</v>
      </c>
      <c r="B2" s="5" t="s">
        <v>38</v>
      </c>
      <c r="C2" s="5" t="s">
        <v>39</v>
      </c>
      <c r="D2" s="5" t="n">
        <v>800</v>
      </c>
      <c r="E2" s="5" t="n">
        <v>150</v>
      </c>
      <c r="F2" s="5" t="n">
        <v>4</v>
      </c>
      <c r="G2" s="5" t="n">
        <v>12</v>
      </c>
      <c r="H2" s="5" t="n">
        <v>10</v>
      </c>
      <c r="I2" s="5" t="n">
        <v>14</v>
      </c>
      <c r="J2" s="5" t="n">
        <f aca="false">IF(COUNT(G2:I2)=0,"",SUM(G2:I2))</f>
        <v>36</v>
      </c>
      <c r="K2" s="6"/>
    </row>
    <row r="3" customFormat="false" ht="38.25" hidden="false" customHeight="true" outlineLevel="0" collapsed="false">
      <c r="A3" s="7" t="n">
        <v>1</v>
      </c>
      <c r="B3" s="8"/>
      <c r="C3" s="7" t="s">
        <v>39</v>
      </c>
      <c r="D3" s="7" t="n">
        <v>800</v>
      </c>
      <c r="E3" s="7" t="n">
        <v>150</v>
      </c>
      <c r="F3" s="7" t="n">
        <v>4</v>
      </c>
      <c r="G3" s="8" t="n">
        <f aca="false">'Вопросы 1'!H18</f>
        <v>14</v>
      </c>
      <c r="H3" s="8" t="n">
        <f aca="false">'Вопросы 1'!I18</f>
        <v>13</v>
      </c>
      <c r="I3" s="8" t="n">
        <f aca="false">'Вопросы 1'!J18</f>
        <v>15</v>
      </c>
      <c r="J3" s="7" t="n">
        <f aca="false">IF(COUNT(G3:I3)=0,"",SUM(G3:I3))</f>
        <v>42</v>
      </c>
      <c r="K3" s="9" t="s">
        <v>40</v>
      </c>
    </row>
    <row r="4" customFormat="false" ht="25.5" hidden="false" customHeight="true" outlineLevel="0" collapsed="false">
      <c r="A4" s="7" t="n">
        <v>2</v>
      </c>
      <c r="B4" s="8"/>
      <c r="C4" s="7" t="s">
        <v>39</v>
      </c>
      <c r="D4" s="7" t="n">
        <v>400</v>
      </c>
      <c r="E4" s="7" t="n">
        <v>80</v>
      </c>
      <c r="F4" s="7" t="n">
        <v>4</v>
      </c>
      <c r="G4" s="8" t="n">
        <f aca="false">'Вопросы 2'!H18</f>
        <v>14</v>
      </c>
      <c r="H4" s="8" t="n">
        <f aca="false">'Вопросы 2'!I18</f>
        <v>11</v>
      </c>
      <c r="I4" s="8" t="n">
        <f aca="false">'Вопросы 2'!J18</f>
        <v>15</v>
      </c>
      <c r="J4" s="7" t="n">
        <f aca="false">IF(COUNT(G4:I4)=0,"",SUM(G4:I4))</f>
        <v>40</v>
      </c>
      <c r="K4" s="9" t="s">
        <v>41</v>
      </c>
    </row>
    <row r="5" customFormat="false" ht="38.25" hidden="false" customHeight="true" outlineLevel="0" collapsed="false">
      <c r="A5" s="7" t="n">
        <v>3</v>
      </c>
      <c r="B5" s="8"/>
      <c r="C5" s="7" t="s">
        <v>39</v>
      </c>
      <c r="D5" s="7" t="n">
        <v>200</v>
      </c>
      <c r="E5" s="7" t="n">
        <v>40</v>
      </c>
      <c r="F5" s="7" t="n">
        <v>4</v>
      </c>
      <c r="G5" s="8" t="n">
        <f aca="false">'Вопросы 3'!H18</f>
        <v>13</v>
      </c>
      <c r="H5" s="8" t="n">
        <f aca="false">'Вопросы 3'!I18</f>
        <v>5</v>
      </c>
      <c r="I5" s="8" t="n">
        <f aca="false">'Вопросы 3'!J18</f>
        <v>15</v>
      </c>
      <c r="J5" s="7" t="n">
        <f aca="false">IF(COUNT(G5:I5)=0,"",SUM(G5:I5))</f>
        <v>33</v>
      </c>
      <c r="K5" s="9" t="s">
        <v>42</v>
      </c>
    </row>
    <row r="6" customFormat="false" ht="51" hidden="false" customHeight="true" outlineLevel="0" collapsed="false">
      <c r="A6" s="7" t="n">
        <v>4</v>
      </c>
      <c r="B6" s="8"/>
      <c r="C6" s="7" t="s">
        <v>39</v>
      </c>
      <c r="D6" s="7" t="n">
        <v>800</v>
      </c>
      <c r="E6" s="7" t="n">
        <v>150</v>
      </c>
      <c r="F6" s="7" t="n">
        <v>2</v>
      </c>
      <c r="G6" s="8" t="n">
        <f aca="false">'Вопросы 4'!H18</f>
        <v>14</v>
      </c>
      <c r="H6" s="8" t="n">
        <f aca="false">'Вопросы 4'!I18</f>
        <v>13</v>
      </c>
      <c r="I6" s="8" t="n">
        <f aca="false">'Вопросы 4'!J18</f>
        <v>15</v>
      </c>
      <c r="J6" s="7" t="n">
        <f aca="false">IF(COUNT(G6:I6)=0,"",SUM(G6:I6))</f>
        <v>42</v>
      </c>
      <c r="K6" s="9" t="s">
        <v>43</v>
      </c>
    </row>
    <row r="7" customFormat="false" ht="51" hidden="false" customHeight="true" outlineLevel="0" collapsed="false">
      <c r="A7" s="7" t="n">
        <v>5</v>
      </c>
      <c r="B7" s="8"/>
      <c r="C7" s="7" t="s">
        <v>39</v>
      </c>
      <c r="D7" s="7" t="n">
        <v>800</v>
      </c>
      <c r="E7" s="7" t="n">
        <v>150</v>
      </c>
      <c r="F7" s="7" t="n">
        <v>8</v>
      </c>
      <c r="G7" s="8" t="n">
        <f aca="false">'Вопросы 5'!H18</f>
        <v>14</v>
      </c>
      <c r="H7" s="8" t="n">
        <f aca="false">'Вопросы 5'!I18</f>
        <v>14</v>
      </c>
      <c r="I7" s="8" t="n">
        <f aca="false">'Вопросы 5'!J18</f>
        <v>15</v>
      </c>
      <c r="J7" s="7" t="n">
        <f aca="false">IF(COUNT(G7:I7)=0,"",SUM(G7:I7))</f>
        <v>43</v>
      </c>
      <c r="K7" s="9" t="s">
        <v>44</v>
      </c>
    </row>
    <row r="8" customFormat="false" ht="38.25" hidden="false" customHeight="true" outlineLevel="0" collapsed="false">
      <c r="A8" s="7" t="n">
        <v>6</v>
      </c>
      <c r="B8" s="8"/>
      <c r="C8" s="7" t="s">
        <v>45</v>
      </c>
      <c r="D8" s="7" t="n">
        <v>800</v>
      </c>
      <c r="E8" s="7" t="n">
        <v>150</v>
      </c>
      <c r="F8" s="7" t="n">
        <v>4</v>
      </c>
      <c r="G8" s="8" t="n">
        <f aca="false">'Вопросы 6'!H18</f>
        <v>14</v>
      </c>
      <c r="H8" s="8" t="n">
        <f aca="false">'Вопросы 6'!I18</f>
        <v>13</v>
      </c>
      <c r="I8" s="8" t="n">
        <f aca="false">'Вопросы 6'!J18</f>
        <v>15</v>
      </c>
      <c r="J8" s="7" t="n">
        <f aca="false">IF(COUNT(G8:I8)=0,"",SUM(G8:I8))</f>
        <v>42</v>
      </c>
      <c r="K8" s="9" t="s">
        <v>46</v>
      </c>
    </row>
    <row r="9" customFormat="false" ht="38.25" hidden="false" customHeight="true" outlineLevel="0" collapsed="false">
      <c r="A9" s="7" t="n">
        <v>7</v>
      </c>
      <c r="B9" s="8"/>
      <c r="C9" s="7" t="s">
        <v>39</v>
      </c>
      <c r="D9" s="7" t="n">
        <v>800</v>
      </c>
      <c r="E9" s="7" t="n">
        <v>150</v>
      </c>
      <c r="F9" s="7" t="n">
        <v>4</v>
      </c>
      <c r="G9" s="8" t="n">
        <f aca="false">'Вопросы 7'!H18</f>
        <v>14</v>
      </c>
      <c r="H9" s="8" t="n">
        <f aca="false">'Вопросы 7'!I18</f>
        <v>14</v>
      </c>
      <c r="I9" s="8" t="n">
        <f aca="false">'Вопросы 7'!J18</f>
        <v>15</v>
      </c>
      <c r="J9" s="7" t="n">
        <f aca="false">IF(COUNT(G9:I9)=0,"",SUM(G9:I9))</f>
        <v>43</v>
      </c>
      <c r="K9" s="9" t="s">
        <v>47</v>
      </c>
    </row>
    <row r="10" customFormat="false" ht="38.25" hidden="false" customHeight="true" outlineLevel="0" collapsed="false">
      <c r="A10" s="7" t="n">
        <v>8</v>
      </c>
      <c r="B10" s="8"/>
      <c r="C10" s="7" t="s">
        <v>39</v>
      </c>
      <c r="D10" s="7" t="n">
        <v>800</v>
      </c>
      <c r="E10" s="7" t="n">
        <v>150</v>
      </c>
      <c r="F10" s="7" t="n">
        <v>4</v>
      </c>
      <c r="G10" s="8" t="n">
        <f aca="false">'Вопросы 8'!H18</f>
        <v>14</v>
      </c>
      <c r="H10" s="8" t="n">
        <f aca="false">'Вопросы 8'!I18</f>
        <v>14</v>
      </c>
      <c r="I10" s="8" t="n">
        <f aca="false">'Вопросы 8'!J18</f>
        <v>15</v>
      </c>
      <c r="J10" s="7" t="n">
        <f aca="false">IF(COUNT(G10:I10)=0,"",SUM(G10:I10))</f>
        <v>43</v>
      </c>
      <c r="K10" s="9" t="s">
        <v>48</v>
      </c>
    </row>
    <row r="12" customFormat="false" ht="15" hidden="false" customHeight="false" outlineLevel="0" collapsed="false">
      <c r="A12" s="1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4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K13" activeCellId="0" sqref="K1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48"/>
    <col collapsed="false" customWidth="true" hidden="false" outlineLevel="0" max="6" min="6" style="0" width="32"/>
    <col collapsed="false" customWidth="true" hidden="false" outlineLevel="0" max="7" min="7" style="0" width="45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32"/>
  </cols>
  <sheetData>
    <row r="1" customFormat="false" ht="25.5" hidden="false" customHeight="true" outlineLevel="0" collapsed="false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32</v>
      </c>
      <c r="I1" s="4" t="s">
        <v>33</v>
      </c>
      <c r="J1" s="4" t="s">
        <v>34</v>
      </c>
      <c r="K1" s="4" t="s">
        <v>57</v>
      </c>
    </row>
    <row r="2" customFormat="false" ht="51" hidden="false" customHeight="true" outlineLevel="0" collapsed="false">
      <c r="A2" s="11" t="n">
        <v>1</v>
      </c>
      <c r="B2" s="12" t="s">
        <v>58</v>
      </c>
      <c r="C2" s="11" t="s">
        <v>59</v>
      </c>
      <c r="D2" s="11" t="s">
        <v>60</v>
      </c>
      <c r="E2" s="11" t="s">
        <v>61</v>
      </c>
      <c r="F2" s="11" t="s">
        <v>62</v>
      </c>
      <c r="G2" s="13" t="s">
        <v>63</v>
      </c>
      <c r="H2" s="14" t="n">
        <v>1</v>
      </c>
      <c r="I2" s="14" t="n">
        <v>1</v>
      </c>
      <c r="J2" s="14" t="n">
        <v>1</v>
      </c>
      <c r="K2" s="15"/>
    </row>
    <row r="3" customFormat="false" ht="51" hidden="false" customHeight="true" outlineLevel="0" collapsed="false">
      <c r="A3" s="11" t="n">
        <v>2</v>
      </c>
      <c r="B3" s="12" t="s">
        <v>58</v>
      </c>
      <c r="C3" s="11" t="s">
        <v>64</v>
      </c>
      <c r="D3" s="11" t="s">
        <v>65</v>
      </c>
      <c r="E3" s="11" t="s">
        <v>66</v>
      </c>
      <c r="F3" s="11" t="s">
        <v>67</v>
      </c>
      <c r="G3" s="13" t="s">
        <v>68</v>
      </c>
      <c r="H3" s="14" t="n">
        <v>1</v>
      </c>
      <c r="I3" s="14" t="n">
        <v>1</v>
      </c>
      <c r="J3" s="14" t="n">
        <v>1</v>
      </c>
      <c r="K3" s="15"/>
    </row>
    <row r="4" customFormat="false" ht="76.5" hidden="false" customHeight="true" outlineLevel="0" collapsed="false">
      <c r="A4" s="11" t="n">
        <v>3</v>
      </c>
      <c r="B4" s="12" t="s">
        <v>58</v>
      </c>
      <c r="C4" s="11" t="s">
        <v>69</v>
      </c>
      <c r="D4" s="11" t="s">
        <v>70</v>
      </c>
      <c r="E4" s="11" t="s">
        <v>71</v>
      </c>
      <c r="F4" s="11" t="s">
        <v>72</v>
      </c>
      <c r="G4" s="13" t="s">
        <v>73</v>
      </c>
      <c r="H4" s="14" t="n">
        <v>1</v>
      </c>
      <c r="I4" s="14" t="n">
        <v>1</v>
      </c>
      <c r="J4" s="14" t="n">
        <v>1</v>
      </c>
      <c r="K4" s="15"/>
    </row>
    <row r="5" customFormat="false" ht="51" hidden="false" customHeight="true" outlineLevel="0" collapsed="false">
      <c r="A5" s="11" t="n">
        <v>4</v>
      </c>
      <c r="B5" s="12" t="s">
        <v>58</v>
      </c>
      <c r="C5" s="11" t="s">
        <v>74</v>
      </c>
      <c r="D5" s="11" t="s">
        <v>75</v>
      </c>
      <c r="E5" s="11" t="s">
        <v>76</v>
      </c>
      <c r="F5" s="11" t="s">
        <v>77</v>
      </c>
      <c r="G5" s="13" t="s">
        <v>78</v>
      </c>
      <c r="H5" s="14" t="n">
        <v>1</v>
      </c>
      <c r="I5" s="14" t="n">
        <v>1</v>
      </c>
      <c r="J5" s="14" t="n">
        <v>1</v>
      </c>
      <c r="K5" s="15"/>
    </row>
    <row r="6" customFormat="false" ht="38.25" hidden="false" customHeight="true" outlineLevel="0" collapsed="false">
      <c r="A6" s="11" t="n">
        <v>5</v>
      </c>
      <c r="B6" s="12" t="s">
        <v>58</v>
      </c>
      <c r="C6" s="11" t="s">
        <v>79</v>
      </c>
      <c r="D6" s="11" t="s">
        <v>80</v>
      </c>
      <c r="E6" s="11" t="s">
        <v>81</v>
      </c>
      <c r="F6" s="11" t="s">
        <v>82</v>
      </c>
      <c r="G6" s="13" t="s">
        <v>83</v>
      </c>
      <c r="H6" s="14" t="n">
        <v>1</v>
      </c>
      <c r="I6" s="14" t="n">
        <v>1</v>
      </c>
      <c r="J6" s="14" t="n">
        <v>1</v>
      </c>
      <c r="K6" s="15"/>
    </row>
    <row r="7" customFormat="false" ht="63.75" hidden="false" customHeight="true" outlineLevel="0" collapsed="false">
      <c r="A7" s="11" t="n">
        <v>6</v>
      </c>
      <c r="B7" s="16" t="s">
        <v>84</v>
      </c>
      <c r="C7" s="11" t="s">
        <v>85</v>
      </c>
      <c r="D7" s="11" t="s">
        <v>86</v>
      </c>
      <c r="E7" s="11" t="s">
        <v>87</v>
      </c>
      <c r="F7" s="11" t="s">
        <v>88</v>
      </c>
      <c r="G7" s="13" t="s">
        <v>89</v>
      </c>
      <c r="H7" s="14" t="n">
        <v>1</v>
      </c>
      <c r="I7" s="14" t="n">
        <v>1</v>
      </c>
      <c r="J7" s="14" t="n">
        <v>1</v>
      </c>
      <c r="K7" s="15"/>
    </row>
    <row r="8" customFormat="false" ht="51" hidden="false" customHeight="true" outlineLevel="0" collapsed="false">
      <c r="A8" s="11" t="n">
        <v>7</v>
      </c>
      <c r="B8" s="16" t="s">
        <v>84</v>
      </c>
      <c r="C8" s="11" t="s">
        <v>90</v>
      </c>
      <c r="D8" s="11" t="s">
        <v>91</v>
      </c>
      <c r="E8" s="11" t="s">
        <v>92</v>
      </c>
      <c r="F8" s="11" t="s">
        <v>82</v>
      </c>
      <c r="G8" s="13" t="s">
        <v>93</v>
      </c>
      <c r="H8" s="14" t="n">
        <v>1</v>
      </c>
      <c r="I8" s="14" t="n">
        <v>1</v>
      </c>
      <c r="J8" s="14" t="n">
        <v>1</v>
      </c>
      <c r="K8" s="15"/>
    </row>
    <row r="9" customFormat="false" ht="63.75" hidden="false" customHeight="true" outlineLevel="0" collapsed="false">
      <c r="A9" s="11" t="n">
        <v>8</v>
      </c>
      <c r="B9" s="16" t="s">
        <v>84</v>
      </c>
      <c r="C9" s="11" t="s">
        <v>94</v>
      </c>
      <c r="D9" s="11" t="s">
        <v>95</v>
      </c>
      <c r="E9" s="11" t="s">
        <v>96</v>
      </c>
      <c r="F9" s="11" t="s">
        <v>97</v>
      </c>
      <c r="G9" s="13" t="s">
        <v>98</v>
      </c>
      <c r="H9" s="14" t="n">
        <v>1</v>
      </c>
      <c r="I9" s="14" t="n">
        <v>1</v>
      </c>
      <c r="J9" s="14" t="n">
        <v>1</v>
      </c>
      <c r="K9" s="15"/>
    </row>
    <row r="10" customFormat="false" ht="140.25" hidden="false" customHeight="true" outlineLevel="0" collapsed="false">
      <c r="A10" s="11" t="n">
        <v>9</v>
      </c>
      <c r="B10" s="17" t="s">
        <v>99</v>
      </c>
      <c r="C10" s="11" t="s">
        <v>100</v>
      </c>
      <c r="D10" s="11" t="s">
        <v>101</v>
      </c>
      <c r="E10" s="11" t="s">
        <v>102</v>
      </c>
      <c r="F10" s="11" t="s">
        <v>103</v>
      </c>
      <c r="G10" s="13" t="s">
        <v>104</v>
      </c>
      <c r="H10" s="14" t="n">
        <v>0</v>
      </c>
      <c r="I10" s="14" t="n">
        <v>0</v>
      </c>
      <c r="J10" s="14" t="n">
        <v>1</v>
      </c>
      <c r="K10" s="15" t="s">
        <v>105</v>
      </c>
    </row>
    <row r="11" customFormat="false" ht="76.5" hidden="false" customHeight="true" outlineLevel="0" collapsed="false">
      <c r="A11" s="11" t="n">
        <v>10</v>
      </c>
      <c r="B11" s="17" t="s">
        <v>99</v>
      </c>
      <c r="C11" s="11" t="s">
        <v>106</v>
      </c>
      <c r="D11" s="11" t="s">
        <v>107</v>
      </c>
      <c r="E11" s="11" t="s">
        <v>108</v>
      </c>
      <c r="F11" s="11" t="s">
        <v>109</v>
      </c>
      <c r="G11" s="13" t="s">
        <v>110</v>
      </c>
      <c r="H11" s="14" t="n">
        <v>1</v>
      </c>
      <c r="I11" s="14" t="n">
        <v>1</v>
      </c>
      <c r="J11" s="14" t="n">
        <v>1</v>
      </c>
      <c r="K11" s="15"/>
    </row>
    <row r="12" customFormat="false" ht="153" hidden="false" customHeight="true" outlineLevel="0" collapsed="false">
      <c r="A12" s="11" t="n">
        <v>11</v>
      </c>
      <c r="B12" s="17" t="s">
        <v>99</v>
      </c>
      <c r="C12" s="11" t="s">
        <v>111</v>
      </c>
      <c r="D12" s="11" t="s">
        <v>112</v>
      </c>
      <c r="E12" s="11" t="s">
        <v>113</v>
      </c>
      <c r="F12" s="11" t="s">
        <v>114</v>
      </c>
      <c r="G12" s="13" t="s">
        <v>115</v>
      </c>
      <c r="H12" s="14" t="n">
        <v>1</v>
      </c>
      <c r="I12" s="14" t="n">
        <v>1</v>
      </c>
      <c r="J12" s="14" t="n">
        <v>1</v>
      </c>
      <c r="K12" s="15"/>
    </row>
    <row r="13" customFormat="false" ht="75" hidden="false" customHeight="true" outlineLevel="0" collapsed="false">
      <c r="A13" s="11" t="n">
        <v>12</v>
      </c>
      <c r="B13" s="18" t="s">
        <v>116</v>
      </c>
      <c r="C13" s="11" t="s">
        <v>117</v>
      </c>
      <c r="D13" s="11" t="s">
        <v>118</v>
      </c>
      <c r="E13" s="11" t="s">
        <v>119</v>
      </c>
      <c r="F13" s="11" t="s">
        <v>120</v>
      </c>
      <c r="G13" s="13" t="s">
        <v>119</v>
      </c>
      <c r="H13" s="14" t="n">
        <v>1</v>
      </c>
      <c r="I13" s="14" t="n">
        <v>1</v>
      </c>
      <c r="J13" s="14" t="n">
        <v>1</v>
      </c>
      <c r="K13" s="15"/>
    </row>
    <row r="14" customFormat="false" ht="75" hidden="false" customHeight="true" outlineLevel="0" collapsed="false">
      <c r="A14" s="11" t="n">
        <v>13</v>
      </c>
      <c r="B14" s="18" t="s">
        <v>116</v>
      </c>
      <c r="C14" s="11" t="s">
        <v>121</v>
      </c>
      <c r="D14" s="11" t="s">
        <v>122</v>
      </c>
      <c r="E14" s="11" t="s">
        <v>119</v>
      </c>
      <c r="F14" s="11" t="s">
        <v>120</v>
      </c>
      <c r="G14" s="13" t="s">
        <v>119</v>
      </c>
      <c r="H14" s="14" t="n">
        <v>1</v>
      </c>
      <c r="I14" s="14" t="n">
        <v>1</v>
      </c>
      <c r="J14" s="14" t="n">
        <v>1</v>
      </c>
      <c r="K14" s="15"/>
    </row>
    <row r="15" customFormat="false" ht="75" hidden="false" customHeight="true" outlineLevel="0" collapsed="false">
      <c r="A15" s="11" t="n">
        <v>14</v>
      </c>
      <c r="B15" s="18" t="s">
        <v>123</v>
      </c>
      <c r="C15" s="11" t="s">
        <v>124</v>
      </c>
      <c r="D15" s="11" t="s">
        <v>125</v>
      </c>
      <c r="E15" s="11" t="s">
        <v>126</v>
      </c>
      <c r="F15" s="11" t="s">
        <v>127</v>
      </c>
      <c r="G15" s="13" t="s">
        <v>128</v>
      </c>
      <c r="H15" s="14" t="n">
        <v>1</v>
      </c>
      <c r="I15" s="14" t="n">
        <v>0</v>
      </c>
      <c r="J15" s="14" t="n">
        <v>1</v>
      </c>
      <c r="K15" s="15" t="s">
        <v>129</v>
      </c>
    </row>
    <row r="16" customFormat="false" ht="75" hidden="false" customHeight="true" outlineLevel="0" collapsed="false">
      <c r="A16" s="11" t="n">
        <v>15</v>
      </c>
      <c r="B16" s="19" t="s">
        <v>130</v>
      </c>
      <c r="C16" s="11" t="s">
        <v>59</v>
      </c>
      <c r="D16" s="11" t="s">
        <v>131</v>
      </c>
      <c r="E16" s="11" t="s">
        <v>132</v>
      </c>
      <c r="F16" s="11" t="s">
        <v>88</v>
      </c>
      <c r="G16" s="13" t="s">
        <v>133</v>
      </c>
      <c r="H16" s="14" t="n">
        <v>1</v>
      </c>
      <c r="I16" s="14" t="n">
        <v>1</v>
      </c>
      <c r="J16" s="14" t="n">
        <v>1</v>
      </c>
      <c r="K16" s="15"/>
    </row>
    <row r="18" customFormat="false" ht="15" hidden="false" customHeight="false" outlineLevel="0" collapsed="false">
      <c r="G18" s="20" t="s">
        <v>134</v>
      </c>
      <c r="H18" s="21" t="n">
        <f aca="false">SUM(H2:H16)</f>
        <v>14</v>
      </c>
      <c r="I18" s="21" t="n">
        <f aca="false">SUM(I2:I16)</f>
        <v>13</v>
      </c>
      <c r="J18" s="21" t="n">
        <f aca="false">SUM(J2:J16)</f>
        <v>15</v>
      </c>
    </row>
    <row r="19" customFormat="false" ht="15" hidden="false" customHeight="false" outlineLevel="0" collapsed="false">
      <c r="G19" s="20" t="s">
        <v>135</v>
      </c>
      <c r="H19" s="22" t="n">
        <f aca="false">IF(COUNT(H2:H16)=0,"",SUM(H2:H16)/COUNT(H2:H16))</f>
        <v>0.933333333333333</v>
      </c>
      <c r="I19" s="22" t="n">
        <f aca="false">IF(COUNT(I2:I16)=0,"",SUM(I2:I16)/COUNT(I2:I16))</f>
        <v>0.866666666666667</v>
      </c>
      <c r="J19" s="22" t="n">
        <f aca="false">IF(COUNT(J2:J16)=0,"",SUM(J2:J16)/COUNT(J2:J16))</f>
        <v>1</v>
      </c>
    </row>
    <row r="20" customFormat="false" ht="15" hidden="false" customHeight="false" outlineLevel="0" collapsed="false">
      <c r="G20" s="20" t="s">
        <v>136</v>
      </c>
      <c r="H20" s="21" t="n">
        <f aca="false">COUNT(H2:H16)</f>
        <v>15</v>
      </c>
      <c r="I20" s="21" t="n">
        <f aca="false">COUNT(I2:I16)</f>
        <v>15</v>
      </c>
      <c r="J20" s="21" t="n">
        <f aca="false">COUNT(J2:J16)</f>
        <v>15</v>
      </c>
    </row>
  </sheetData>
  <autoFilter ref="A1:K16"/>
  <conditionalFormatting sqref="H2:J16">
    <cfRule type="cellIs" priority="2" operator="equal" aboveAverage="0" equalAverage="0" bottom="0" percent="0" rank="0" text="" dxfId="11">
      <formula>1</formula>
    </cfRule>
    <cfRule type="cellIs" priority="3" operator="equal" aboveAverage="0" equalAverage="0" bottom="0" percent="0" rank="0" text="" dxfId="12">
      <formula>0</formula>
    </cfRule>
  </conditionalFormatting>
  <dataValidations count="1">
    <dataValidation allowBlank="true" error="Введите 0 или 1" errorStyle="stop" errorTitle="Только 0 или 1" operator="between" showDropDown="false" showErrorMessage="true" showInputMessage="false" sqref="H2:J16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D7" activeCellId="0" sqref="D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48"/>
    <col collapsed="false" customWidth="true" hidden="false" outlineLevel="0" max="6" min="6" style="0" width="32"/>
    <col collapsed="false" customWidth="true" hidden="false" outlineLevel="0" max="7" min="7" style="0" width="45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32"/>
  </cols>
  <sheetData>
    <row r="1" customFormat="false" ht="25.5" hidden="false" customHeight="true" outlineLevel="0" collapsed="false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32</v>
      </c>
      <c r="I1" s="4" t="s">
        <v>33</v>
      </c>
      <c r="J1" s="4" t="s">
        <v>34</v>
      </c>
      <c r="K1" s="4" t="s">
        <v>57</v>
      </c>
    </row>
    <row r="2" customFormat="false" ht="38.25" hidden="false" customHeight="true" outlineLevel="0" collapsed="false">
      <c r="A2" s="11" t="n">
        <v>1</v>
      </c>
      <c r="B2" s="12" t="s">
        <v>58</v>
      </c>
      <c r="C2" s="11" t="s">
        <v>59</v>
      </c>
      <c r="D2" s="11" t="s">
        <v>60</v>
      </c>
      <c r="E2" s="11" t="s">
        <v>61</v>
      </c>
      <c r="F2" s="11" t="s">
        <v>62</v>
      </c>
      <c r="G2" s="13" t="s">
        <v>137</v>
      </c>
      <c r="H2" s="14" t="n">
        <v>1</v>
      </c>
      <c r="I2" s="14" t="n">
        <v>0</v>
      </c>
      <c r="J2" s="14" t="n">
        <v>1</v>
      </c>
      <c r="K2" s="15" t="s">
        <v>138</v>
      </c>
    </row>
    <row r="3" customFormat="false" ht="38.25" hidden="false" customHeight="true" outlineLevel="0" collapsed="false">
      <c r="A3" s="11" t="n">
        <v>2</v>
      </c>
      <c r="B3" s="12" t="s">
        <v>58</v>
      </c>
      <c r="C3" s="11" t="s">
        <v>64</v>
      </c>
      <c r="D3" s="11" t="s">
        <v>65</v>
      </c>
      <c r="E3" s="11" t="s">
        <v>66</v>
      </c>
      <c r="F3" s="11" t="s">
        <v>67</v>
      </c>
      <c r="G3" s="13" t="s">
        <v>139</v>
      </c>
      <c r="H3" s="14" t="n">
        <v>1</v>
      </c>
      <c r="I3" s="14" t="n">
        <v>1</v>
      </c>
      <c r="J3" s="14" t="n">
        <v>1</v>
      </c>
      <c r="K3" s="15"/>
    </row>
    <row r="4" customFormat="false" ht="76.5" hidden="false" customHeight="true" outlineLevel="0" collapsed="false">
      <c r="A4" s="11" t="n">
        <v>3</v>
      </c>
      <c r="B4" s="12" t="s">
        <v>58</v>
      </c>
      <c r="C4" s="11" t="s">
        <v>69</v>
      </c>
      <c r="D4" s="11" t="s">
        <v>70</v>
      </c>
      <c r="E4" s="11" t="s">
        <v>71</v>
      </c>
      <c r="F4" s="11" t="s">
        <v>72</v>
      </c>
      <c r="G4" s="13" t="s">
        <v>140</v>
      </c>
      <c r="H4" s="14" t="n">
        <v>1</v>
      </c>
      <c r="I4" s="14" t="n">
        <v>1</v>
      </c>
      <c r="J4" s="14" t="n">
        <v>1</v>
      </c>
      <c r="K4" s="15"/>
    </row>
    <row r="5" customFormat="false" ht="51" hidden="false" customHeight="true" outlineLevel="0" collapsed="false">
      <c r="A5" s="11" t="n">
        <v>4</v>
      </c>
      <c r="B5" s="12" t="s">
        <v>58</v>
      </c>
      <c r="C5" s="11" t="s">
        <v>74</v>
      </c>
      <c r="D5" s="11" t="s">
        <v>75</v>
      </c>
      <c r="E5" s="11" t="s">
        <v>76</v>
      </c>
      <c r="F5" s="11" t="s">
        <v>77</v>
      </c>
      <c r="G5" s="13" t="s">
        <v>141</v>
      </c>
      <c r="H5" s="14" t="n">
        <v>1</v>
      </c>
      <c r="I5" s="14" t="n">
        <v>1</v>
      </c>
      <c r="J5" s="14" t="n">
        <v>1</v>
      </c>
      <c r="K5" s="15"/>
    </row>
    <row r="6" customFormat="false" ht="38.25" hidden="false" customHeight="true" outlineLevel="0" collapsed="false">
      <c r="A6" s="11" t="n">
        <v>5</v>
      </c>
      <c r="B6" s="12" t="s">
        <v>58</v>
      </c>
      <c r="C6" s="11" t="s">
        <v>79</v>
      </c>
      <c r="D6" s="11" t="s">
        <v>80</v>
      </c>
      <c r="E6" s="11" t="s">
        <v>81</v>
      </c>
      <c r="F6" s="11" t="s">
        <v>82</v>
      </c>
      <c r="G6" s="13" t="s">
        <v>142</v>
      </c>
      <c r="H6" s="14" t="n">
        <v>1</v>
      </c>
      <c r="I6" s="14" t="n">
        <v>0</v>
      </c>
      <c r="J6" s="14" t="n">
        <v>1</v>
      </c>
      <c r="K6" s="15" t="s">
        <v>138</v>
      </c>
    </row>
    <row r="7" customFormat="false" ht="63.75" hidden="false" customHeight="true" outlineLevel="0" collapsed="false">
      <c r="A7" s="11" t="n">
        <v>6</v>
      </c>
      <c r="B7" s="16" t="s">
        <v>84</v>
      </c>
      <c r="C7" s="11" t="s">
        <v>85</v>
      </c>
      <c r="D7" s="11" t="s">
        <v>86</v>
      </c>
      <c r="E7" s="11" t="s">
        <v>87</v>
      </c>
      <c r="F7" s="11" t="s">
        <v>88</v>
      </c>
      <c r="G7" s="13" t="s">
        <v>89</v>
      </c>
      <c r="H7" s="14" t="n">
        <v>1</v>
      </c>
      <c r="I7" s="14" t="n">
        <v>1</v>
      </c>
      <c r="J7" s="14" t="n">
        <v>1</v>
      </c>
      <c r="K7" s="15"/>
    </row>
    <row r="8" customFormat="false" ht="51" hidden="false" customHeight="true" outlineLevel="0" collapsed="false">
      <c r="A8" s="11" t="n">
        <v>7</v>
      </c>
      <c r="B8" s="16" t="s">
        <v>84</v>
      </c>
      <c r="C8" s="11" t="s">
        <v>90</v>
      </c>
      <c r="D8" s="11" t="s">
        <v>91</v>
      </c>
      <c r="E8" s="11" t="s">
        <v>92</v>
      </c>
      <c r="F8" s="11" t="s">
        <v>82</v>
      </c>
      <c r="G8" s="13" t="s">
        <v>143</v>
      </c>
      <c r="H8" s="14" t="n">
        <v>1</v>
      </c>
      <c r="I8" s="14" t="n">
        <v>1</v>
      </c>
      <c r="J8" s="14" t="n">
        <v>1</v>
      </c>
      <c r="K8" s="15"/>
    </row>
    <row r="9" customFormat="false" ht="63.75" hidden="false" customHeight="true" outlineLevel="0" collapsed="false">
      <c r="A9" s="11" t="n">
        <v>8</v>
      </c>
      <c r="B9" s="16" t="s">
        <v>84</v>
      </c>
      <c r="C9" s="11" t="s">
        <v>94</v>
      </c>
      <c r="D9" s="11" t="s">
        <v>95</v>
      </c>
      <c r="E9" s="11" t="s">
        <v>96</v>
      </c>
      <c r="F9" s="11" t="s">
        <v>97</v>
      </c>
      <c r="G9" s="13" t="s">
        <v>98</v>
      </c>
      <c r="H9" s="14" t="n">
        <v>1</v>
      </c>
      <c r="I9" s="14" t="n">
        <v>1</v>
      </c>
      <c r="J9" s="14" t="n">
        <v>1</v>
      </c>
      <c r="K9" s="15"/>
    </row>
    <row r="10" customFormat="false" ht="127.5" hidden="false" customHeight="true" outlineLevel="0" collapsed="false">
      <c r="A10" s="11" t="n">
        <v>9</v>
      </c>
      <c r="B10" s="17" t="s">
        <v>99</v>
      </c>
      <c r="C10" s="11" t="s">
        <v>100</v>
      </c>
      <c r="D10" s="11" t="s">
        <v>101</v>
      </c>
      <c r="E10" s="11" t="s">
        <v>102</v>
      </c>
      <c r="F10" s="11" t="s">
        <v>103</v>
      </c>
      <c r="G10" s="13" t="s">
        <v>144</v>
      </c>
      <c r="H10" s="14" t="n">
        <v>0</v>
      </c>
      <c r="I10" s="14" t="n">
        <v>0</v>
      </c>
      <c r="J10" s="14" t="n">
        <v>1</v>
      </c>
      <c r="K10" s="15" t="s">
        <v>145</v>
      </c>
    </row>
    <row r="11" customFormat="false" ht="102" hidden="false" customHeight="true" outlineLevel="0" collapsed="false">
      <c r="A11" s="11" t="n">
        <v>10</v>
      </c>
      <c r="B11" s="17" t="s">
        <v>99</v>
      </c>
      <c r="C11" s="11" t="s">
        <v>106</v>
      </c>
      <c r="D11" s="11" t="s">
        <v>107</v>
      </c>
      <c r="E11" s="11" t="s">
        <v>108</v>
      </c>
      <c r="F11" s="11" t="s">
        <v>109</v>
      </c>
      <c r="G11" s="13" t="s">
        <v>146</v>
      </c>
      <c r="H11" s="14" t="n">
        <v>1</v>
      </c>
      <c r="I11" s="14" t="n">
        <v>1</v>
      </c>
      <c r="J11" s="14" t="n">
        <v>1</v>
      </c>
      <c r="K11" s="15" t="s">
        <v>147</v>
      </c>
    </row>
    <row r="12" customFormat="false" ht="127.5" hidden="false" customHeight="true" outlineLevel="0" collapsed="false">
      <c r="A12" s="11" t="n">
        <v>11</v>
      </c>
      <c r="B12" s="17" t="s">
        <v>99</v>
      </c>
      <c r="C12" s="11" t="s">
        <v>111</v>
      </c>
      <c r="D12" s="11" t="s">
        <v>112</v>
      </c>
      <c r="E12" s="11" t="s">
        <v>113</v>
      </c>
      <c r="F12" s="11" t="s">
        <v>114</v>
      </c>
      <c r="G12" s="13" t="s">
        <v>148</v>
      </c>
      <c r="H12" s="14" t="n">
        <v>1</v>
      </c>
      <c r="I12" s="14" t="n">
        <v>1</v>
      </c>
      <c r="J12" s="14" t="n">
        <v>1</v>
      </c>
      <c r="K12" s="15"/>
    </row>
    <row r="13" customFormat="false" ht="75" hidden="false" customHeight="true" outlineLevel="0" collapsed="false">
      <c r="A13" s="11" t="n">
        <v>12</v>
      </c>
      <c r="B13" s="18" t="s">
        <v>116</v>
      </c>
      <c r="C13" s="11" t="s">
        <v>117</v>
      </c>
      <c r="D13" s="11" t="s">
        <v>118</v>
      </c>
      <c r="E13" s="11" t="s">
        <v>119</v>
      </c>
      <c r="F13" s="11" t="s">
        <v>120</v>
      </c>
      <c r="G13" s="13" t="s">
        <v>119</v>
      </c>
      <c r="H13" s="14" t="n">
        <v>1</v>
      </c>
      <c r="I13" s="14" t="n">
        <v>1</v>
      </c>
      <c r="J13" s="14" t="n">
        <v>1</v>
      </c>
      <c r="K13" s="15"/>
    </row>
    <row r="14" customFormat="false" ht="75" hidden="false" customHeight="true" outlineLevel="0" collapsed="false">
      <c r="A14" s="11" t="n">
        <v>13</v>
      </c>
      <c r="B14" s="18" t="s">
        <v>116</v>
      </c>
      <c r="C14" s="11" t="s">
        <v>121</v>
      </c>
      <c r="D14" s="11" t="s">
        <v>122</v>
      </c>
      <c r="E14" s="11" t="s">
        <v>119</v>
      </c>
      <c r="F14" s="11" t="s">
        <v>120</v>
      </c>
      <c r="G14" s="13" t="s">
        <v>119</v>
      </c>
      <c r="H14" s="14" t="n">
        <v>1</v>
      </c>
      <c r="I14" s="14" t="n">
        <v>1</v>
      </c>
      <c r="J14" s="14" t="n">
        <v>1</v>
      </c>
      <c r="K14" s="15"/>
    </row>
    <row r="15" customFormat="false" ht="75" hidden="false" customHeight="true" outlineLevel="0" collapsed="false">
      <c r="A15" s="11" t="n">
        <v>14</v>
      </c>
      <c r="B15" s="18" t="s">
        <v>123</v>
      </c>
      <c r="C15" s="11" t="s">
        <v>124</v>
      </c>
      <c r="D15" s="11" t="s">
        <v>125</v>
      </c>
      <c r="E15" s="11" t="s">
        <v>126</v>
      </c>
      <c r="F15" s="11" t="s">
        <v>127</v>
      </c>
      <c r="G15" s="13" t="s">
        <v>119</v>
      </c>
      <c r="H15" s="14" t="n">
        <v>1</v>
      </c>
      <c r="I15" s="14" t="n">
        <v>1</v>
      </c>
      <c r="J15" s="14" t="n">
        <v>1</v>
      </c>
      <c r="K15" s="15"/>
    </row>
    <row r="16" customFormat="false" ht="75" hidden="false" customHeight="true" outlineLevel="0" collapsed="false">
      <c r="A16" s="11" t="n">
        <v>15</v>
      </c>
      <c r="B16" s="19" t="s">
        <v>130</v>
      </c>
      <c r="C16" s="11" t="s">
        <v>59</v>
      </c>
      <c r="D16" s="11" t="s">
        <v>131</v>
      </c>
      <c r="E16" s="11" t="s">
        <v>132</v>
      </c>
      <c r="F16" s="11" t="s">
        <v>88</v>
      </c>
      <c r="G16" s="13" t="s">
        <v>149</v>
      </c>
      <c r="H16" s="14" t="n">
        <v>1</v>
      </c>
      <c r="I16" s="14" t="n">
        <v>0</v>
      </c>
      <c r="J16" s="14" t="n">
        <v>1</v>
      </c>
      <c r="K16" s="15" t="s">
        <v>138</v>
      </c>
    </row>
    <row r="18" customFormat="false" ht="15" hidden="false" customHeight="false" outlineLevel="0" collapsed="false">
      <c r="G18" s="20" t="s">
        <v>134</v>
      </c>
      <c r="H18" s="21" t="n">
        <f aca="false">SUM(H2:H16)</f>
        <v>14</v>
      </c>
      <c r="I18" s="21" t="n">
        <f aca="false">SUM(I2:I16)</f>
        <v>11</v>
      </c>
      <c r="J18" s="21" t="n">
        <f aca="false">SUM(J2:J16)</f>
        <v>15</v>
      </c>
    </row>
    <row r="19" customFormat="false" ht="15" hidden="false" customHeight="false" outlineLevel="0" collapsed="false">
      <c r="G19" s="20" t="s">
        <v>135</v>
      </c>
      <c r="H19" s="22" t="n">
        <f aca="false">IF(COUNT(H2:H16)=0,"",SUM(H2:H16)/COUNT(H2:H16))</f>
        <v>0.933333333333333</v>
      </c>
      <c r="I19" s="22" t="n">
        <f aca="false">IF(COUNT(I2:I16)=0,"",SUM(I2:I16)/COUNT(I2:I16))</f>
        <v>0.733333333333333</v>
      </c>
      <c r="J19" s="22" t="n">
        <f aca="false">IF(COUNT(J2:J16)=0,"",SUM(J2:J16)/COUNT(J2:J16))</f>
        <v>1</v>
      </c>
    </row>
    <row r="20" customFormat="false" ht="15" hidden="false" customHeight="false" outlineLevel="0" collapsed="false">
      <c r="G20" s="20" t="s">
        <v>136</v>
      </c>
      <c r="H20" s="21" t="n">
        <f aca="false">COUNT(H2:H16)</f>
        <v>15</v>
      </c>
      <c r="I20" s="21" t="n">
        <f aca="false">COUNT(I2:I16)</f>
        <v>15</v>
      </c>
      <c r="J20" s="21" t="n">
        <f aca="false">COUNT(J2:J16)</f>
        <v>15</v>
      </c>
    </row>
  </sheetData>
  <autoFilter ref="A1:K16"/>
  <conditionalFormatting sqref="H2:J16">
    <cfRule type="cellIs" priority="2" operator="equal" aboveAverage="0" equalAverage="0" bottom="0" percent="0" rank="0" text="" dxfId="11">
      <formula>1</formula>
    </cfRule>
    <cfRule type="cellIs" priority="3" operator="equal" aboveAverage="0" equalAverage="0" bottom="0" percent="0" rank="0" text="" dxfId="12">
      <formula>0</formula>
    </cfRule>
  </conditionalFormatting>
  <dataValidations count="1">
    <dataValidation allowBlank="true" error="Введите 0 или 1" errorStyle="stop" errorTitle="Только 0 или 1" operator="between" showDropDown="false" showErrorMessage="true" showInputMessage="false" sqref="H2:J16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5" activeCellId="0" sqref="G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48"/>
    <col collapsed="false" customWidth="true" hidden="false" outlineLevel="0" max="6" min="6" style="0" width="32"/>
    <col collapsed="false" customWidth="true" hidden="false" outlineLevel="0" max="7" min="7" style="0" width="45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32"/>
  </cols>
  <sheetData>
    <row r="1" customFormat="false" ht="25.5" hidden="false" customHeight="true" outlineLevel="0" collapsed="false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32</v>
      </c>
      <c r="I1" s="4" t="s">
        <v>33</v>
      </c>
      <c r="J1" s="4" t="s">
        <v>34</v>
      </c>
      <c r="K1" s="4" t="s">
        <v>57</v>
      </c>
    </row>
    <row r="2" customFormat="false" ht="38.25" hidden="false" customHeight="true" outlineLevel="0" collapsed="false">
      <c r="A2" s="11" t="n">
        <v>1</v>
      </c>
      <c r="B2" s="12" t="s">
        <v>58</v>
      </c>
      <c r="C2" s="11" t="s">
        <v>59</v>
      </c>
      <c r="D2" s="11" t="s">
        <v>60</v>
      </c>
      <c r="E2" s="11" t="s">
        <v>61</v>
      </c>
      <c r="F2" s="11" t="s">
        <v>62</v>
      </c>
      <c r="G2" s="13" t="s">
        <v>150</v>
      </c>
      <c r="H2" s="14" t="n">
        <v>1</v>
      </c>
      <c r="I2" s="14" t="n">
        <v>0</v>
      </c>
      <c r="J2" s="14" t="n">
        <v>1</v>
      </c>
      <c r="K2" s="15" t="s">
        <v>138</v>
      </c>
    </row>
    <row r="3" customFormat="false" ht="38.25" hidden="false" customHeight="true" outlineLevel="0" collapsed="false">
      <c r="A3" s="11" t="n">
        <v>2</v>
      </c>
      <c r="B3" s="12" t="s">
        <v>58</v>
      </c>
      <c r="C3" s="11" t="s">
        <v>64</v>
      </c>
      <c r="D3" s="11" t="s">
        <v>65</v>
      </c>
      <c r="E3" s="11" t="s">
        <v>66</v>
      </c>
      <c r="F3" s="11" t="s">
        <v>67</v>
      </c>
      <c r="G3" s="13" t="s">
        <v>151</v>
      </c>
      <c r="H3" s="14" t="n">
        <v>1</v>
      </c>
      <c r="I3" s="14" t="n">
        <v>0</v>
      </c>
      <c r="J3" s="14" t="n">
        <v>1</v>
      </c>
      <c r="K3" s="15" t="s">
        <v>138</v>
      </c>
    </row>
    <row r="4" customFormat="false" ht="51" hidden="false" customHeight="true" outlineLevel="0" collapsed="false">
      <c r="A4" s="11" t="n">
        <v>3</v>
      </c>
      <c r="B4" s="12" t="s">
        <v>58</v>
      </c>
      <c r="C4" s="11" t="s">
        <v>69</v>
      </c>
      <c r="D4" s="11" t="s">
        <v>70</v>
      </c>
      <c r="E4" s="11" t="s">
        <v>71</v>
      </c>
      <c r="F4" s="11" t="s">
        <v>72</v>
      </c>
      <c r="G4" s="13" t="s">
        <v>152</v>
      </c>
      <c r="H4" s="14" t="n">
        <v>1</v>
      </c>
      <c r="I4" s="14" t="n">
        <v>1</v>
      </c>
      <c r="J4" s="14" t="n">
        <v>1</v>
      </c>
      <c r="K4" s="15"/>
    </row>
    <row r="5" customFormat="false" ht="51" hidden="false" customHeight="true" outlineLevel="0" collapsed="false">
      <c r="A5" s="11" t="n">
        <v>4</v>
      </c>
      <c r="B5" s="12" t="s">
        <v>58</v>
      </c>
      <c r="C5" s="11" t="s">
        <v>74</v>
      </c>
      <c r="D5" s="11" t="s">
        <v>75</v>
      </c>
      <c r="E5" s="11" t="s">
        <v>76</v>
      </c>
      <c r="F5" s="11" t="s">
        <v>77</v>
      </c>
      <c r="G5" s="13" t="s">
        <v>141</v>
      </c>
      <c r="H5" s="14" t="n">
        <v>1</v>
      </c>
      <c r="I5" s="14" t="n">
        <v>1</v>
      </c>
      <c r="J5" s="14" t="n">
        <v>1</v>
      </c>
      <c r="K5" s="15"/>
    </row>
    <row r="6" customFormat="false" ht="51" hidden="false" customHeight="true" outlineLevel="0" collapsed="false">
      <c r="A6" s="11" t="n">
        <v>5</v>
      </c>
      <c r="B6" s="12" t="s">
        <v>58</v>
      </c>
      <c r="C6" s="11" t="s">
        <v>79</v>
      </c>
      <c r="D6" s="11" t="s">
        <v>80</v>
      </c>
      <c r="E6" s="11" t="s">
        <v>81</v>
      </c>
      <c r="F6" s="11" t="s">
        <v>82</v>
      </c>
      <c r="G6" s="13" t="s">
        <v>153</v>
      </c>
      <c r="H6" s="14" t="n">
        <v>1</v>
      </c>
      <c r="I6" s="14" t="n">
        <v>0</v>
      </c>
      <c r="J6" s="14" t="n">
        <v>1</v>
      </c>
      <c r="K6" s="15" t="s">
        <v>138</v>
      </c>
    </row>
    <row r="7" customFormat="false" ht="63.75" hidden="false" customHeight="true" outlineLevel="0" collapsed="false">
      <c r="A7" s="11" t="n">
        <v>6</v>
      </c>
      <c r="B7" s="16" t="s">
        <v>84</v>
      </c>
      <c r="C7" s="11" t="s">
        <v>85</v>
      </c>
      <c r="D7" s="11" t="s">
        <v>86</v>
      </c>
      <c r="E7" s="11" t="s">
        <v>87</v>
      </c>
      <c r="F7" s="11" t="s">
        <v>88</v>
      </c>
      <c r="G7" s="13" t="s">
        <v>89</v>
      </c>
      <c r="H7" s="14" t="n">
        <v>1</v>
      </c>
      <c r="I7" s="14" t="n">
        <v>1</v>
      </c>
      <c r="J7" s="14" t="n">
        <v>1</v>
      </c>
      <c r="K7" s="15"/>
    </row>
    <row r="8" customFormat="false" ht="51" hidden="false" customHeight="true" outlineLevel="0" collapsed="false">
      <c r="A8" s="11" t="n">
        <v>7</v>
      </c>
      <c r="B8" s="16" t="s">
        <v>84</v>
      </c>
      <c r="C8" s="11" t="s">
        <v>90</v>
      </c>
      <c r="D8" s="11" t="s">
        <v>91</v>
      </c>
      <c r="E8" s="11" t="s">
        <v>92</v>
      </c>
      <c r="F8" s="11" t="s">
        <v>82</v>
      </c>
      <c r="G8" s="13" t="s">
        <v>154</v>
      </c>
      <c r="H8" s="14" t="n">
        <v>1</v>
      </c>
      <c r="I8" s="14" t="n">
        <v>0</v>
      </c>
      <c r="J8" s="14" t="n">
        <v>1</v>
      </c>
      <c r="K8" s="15" t="s">
        <v>138</v>
      </c>
    </row>
    <row r="9" customFormat="false" ht="51" hidden="false" customHeight="true" outlineLevel="0" collapsed="false">
      <c r="A9" s="11" t="n">
        <v>8</v>
      </c>
      <c r="B9" s="16" t="s">
        <v>84</v>
      </c>
      <c r="C9" s="11" t="s">
        <v>94</v>
      </c>
      <c r="D9" s="11" t="s">
        <v>95</v>
      </c>
      <c r="E9" s="11" t="s">
        <v>96</v>
      </c>
      <c r="F9" s="11" t="s">
        <v>97</v>
      </c>
      <c r="G9" s="13" t="s">
        <v>119</v>
      </c>
      <c r="H9" s="14" t="n">
        <v>0</v>
      </c>
      <c r="I9" s="14" t="n">
        <v>0</v>
      </c>
      <c r="J9" s="14" t="n">
        <v>1</v>
      </c>
      <c r="K9" s="15" t="s">
        <v>155</v>
      </c>
    </row>
    <row r="10" customFormat="false" ht="165.75" hidden="false" customHeight="true" outlineLevel="0" collapsed="false">
      <c r="A10" s="11" t="n">
        <v>9</v>
      </c>
      <c r="B10" s="17" t="s">
        <v>99</v>
      </c>
      <c r="C10" s="11" t="s">
        <v>100</v>
      </c>
      <c r="D10" s="11" t="s">
        <v>101</v>
      </c>
      <c r="E10" s="11" t="s">
        <v>102</v>
      </c>
      <c r="F10" s="11" t="s">
        <v>103</v>
      </c>
      <c r="G10" s="13" t="s">
        <v>156</v>
      </c>
      <c r="H10" s="14" t="n">
        <v>0</v>
      </c>
      <c r="I10" s="14" t="n">
        <v>0</v>
      </c>
      <c r="J10" s="14" t="n">
        <v>1</v>
      </c>
      <c r="K10" s="15" t="s">
        <v>157</v>
      </c>
    </row>
    <row r="11" customFormat="false" ht="76.5" hidden="false" customHeight="true" outlineLevel="0" collapsed="false">
      <c r="A11" s="11" t="n">
        <v>10</v>
      </c>
      <c r="B11" s="17" t="s">
        <v>99</v>
      </c>
      <c r="C11" s="11" t="s">
        <v>106</v>
      </c>
      <c r="D11" s="11" t="s">
        <v>107</v>
      </c>
      <c r="E11" s="11" t="s">
        <v>108</v>
      </c>
      <c r="F11" s="11" t="s">
        <v>109</v>
      </c>
      <c r="G11" s="13" t="s">
        <v>158</v>
      </c>
      <c r="H11" s="14" t="n">
        <v>1</v>
      </c>
      <c r="I11" s="14" t="n">
        <v>0</v>
      </c>
      <c r="J11" s="14" t="n">
        <v>1</v>
      </c>
      <c r="K11" s="15" t="s">
        <v>159</v>
      </c>
    </row>
    <row r="12" customFormat="false" ht="127.5" hidden="false" customHeight="true" outlineLevel="0" collapsed="false">
      <c r="A12" s="11" t="n">
        <v>11</v>
      </c>
      <c r="B12" s="17" t="s">
        <v>99</v>
      </c>
      <c r="C12" s="11" t="s">
        <v>111</v>
      </c>
      <c r="D12" s="11" t="s">
        <v>112</v>
      </c>
      <c r="E12" s="11" t="s">
        <v>113</v>
      </c>
      <c r="F12" s="11" t="s">
        <v>114</v>
      </c>
      <c r="G12" s="13" t="s">
        <v>160</v>
      </c>
      <c r="H12" s="14" t="n">
        <v>1</v>
      </c>
      <c r="I12" s="14" t="n">
        <v>0</v>
      </c>
      <c r="J12" s="14" t="n">
        <v>1</v>
      </c>
      <c r="K12" s="15" t="s">
        <v>161</v>
      </c>
    </row>
    <row r="13" customFormat="false" ht="75" hidden="false" customHeight="true" outlineLevel="0" collapsed="false">
      <c r="A13" s="11" t="n">
        <v>12</v>
      </c>
      <c r="B13" s="18" t="s">
        <v>116</v>
      </c>
      <c r="C13" s="11" t="s">
        <v>117</v>
      </c>
      <c r="D13" s="11" t="s">
        <v>118</v>
      </c>
      <c r="E13" s="11" t="s">
        <v>119</v>
      </c>
      <c r="F13" s="11" t="s">
        <v>120</v>
      </c>
      <c r="G13" s="13" t="s">
        <v>119</v>
      </c>
      <c r="H13" s="14" t="n">
        <v>1</v>
      </c>
      <c r="I13" s="14" t="n">
        <v>1</v>
      </c>
      <c r="J13" s="14" t="n">
        <v>1</v>
      </c>
      <c r="K13" s="15"/>
    </row>
    <row r="14" customFormat="false" ht="75" hidden="false" customHeight="true" outlineLevel="0" collapsed="false">
      <c r="A14" s="11" t="n">
        <v>13</v>
      </c>
      <c r="B14" s="18" t="s">
        <v>116</v>
      </c>
      <c r="C14" s="11" t="s">
        <v>121</v>
      </c>
      <c r="D14" s="11" t="s">
        <v>122</v>
      </c>
      <c r="E14" s="11" t="s">
        <v>119</v>
      </c>
      <c r="F14" s="11" t="s">
        <v>120</v>
      </c>
      <c r="G14" s="13" t="s">
        <v>119</v>
      </c>
      <c r="H14" s="14" t="n">
        <v>1</v>
      </c>
      <c r="I14" s="14" t="n">
        <v>1</v>
      </c>
      <c r="J14" s="14" t="n">
        <v>1</v>
      </c>
      <c r="K14" s="15"/>
    </row>
    <row r="15" customFormat="false" ht="75" hidden="false" customHeight="true" outlineLevel="0" collapsed="false">
      <c r="A15" s="11" t="n">
        <v>14</v>
      </c>
      <c r="B15" s="18" t="s">
        <v>123</v>
      </c>
      <c r="C15" s="11" t="s">
        <v>124</v>
      </c>
      <c r="D15" s="11" t="s">
        <v>125</v>
      </c>
      <c r="E15" s="11" t="s">
        <v>126</v>
      </c>
      <c r="F15" s="11" t="s">
        <v>127</v>
      </c>
      <c r="G15" s="13" t="s">
        <v>128</v>
      </c>
      <c r="H15" s="14" t="n">
        <v>1</v>
      </c>
      <c r="I15" s="14" t="n">
        <v>0</v>
      </c>
      <c r="J15" s="14" t="n">
        <v>1</v>
      </c>
      <c r="K15" s="15" t="s">
        <v>162</v>
      </c>
    </row>
    <row r="16" customFormat="false" ht="75" hidden="false" customHeight="true" outlineLevel="0" collapsed="false">
      <c r="A16" s="11" t="n">
        <v>15</v>
      </c>
      <c r="B16" s="19" t="s">
        <v>130</v>
      </c>
      <c r="C16" s="11" t="s">
        <v>59</v>
      </c>
      <c r="D16" s="11" t="s">
        <v>131</v>
      </c>
      <c r="E16" s="11" t="s">
        <v>132</v>
      </c>
      <c r="F16" s="11" t="s">
        <v>88</v>
      </c>
      <c r="G16" s="13" t="s">
        <v>163</v>
      </c>
      <c r="H16" s="14" t="n">
        <v>1</v>
      </c>
      <c r="I16" s="14" t="n">
        <v>0</v>
      </c>
      <c r="J16" s="14" t="n">
        <v>1</v>
      </c>
      <c r="K16" s="15" t="s">
        <v>138</v>
      </c>
    </row>
    <row r="18" customFormat="false" ht="15" hidden="false" customHeight="false" outlineLevel="0" collapsed="false">
      <c r="G18" s="20" t="s">
        <v>134</v>
      </c>
      <c r="H18" s="21" t="n">
        <f aca="false">SUM(H2:H16)</f>
        <v>13</v>
      </c>
      <c r="I18" s="21" t="n">
        <f aca="false">SUM(I2:I16)</f>
        <v>5</v>
      </c>
      <c r="J18" s="21" t="n">
        <f aca="false">SUM(J2:J16)</f>
        <v>15</v>
      </c>
    </row>
    <row r="19" customFormat="false" ht="15" hidden="false" customHeight="false" outlineLevel="0" collapsed="false">
      <c r="G19" s="20" t="s">
        <v>135</v>
      </c>
      <c r="H19" s="22" t="n">
        <f aca="false">IF(COUNT(H2:H16)=0,"",SUM(H2:H16)/COUNT(H2:H16))</f>
        <v>0.866666666666667</v>
      </c>
      <c r="I19" s="22" t="n">
        <f aca="false">IF(COUNT(I2:I16)=0,"",SUM(I2:I16)/COUNT(I2:I16))</f>
        <v>0.333333333333333</v>
      </c>
      <c r="J19" s="22" t="n">
        <f aca="false">IF(COUNT(J2:J16)=0,"",SUM(J2:J16)/COUNT(J2:J16))</f>
        <v>1</v>
      </c>
    </row>
    <row r="20" customFormat="false" ht="15" hidden="false" customHeight="false" outlineLevel="0" collapsed="false">
      <c r="G20" s="20" t="s">
        <v>136</v>
      </c>
      <c r="H20" s="21" t="n">
        <f aca="false">COUNT(H2:H16)</f>
        <v>15</v>
      </c>
      <c r="I20" s="21" t="n">
        <f aca="false">COUNT(I2:I16)</f>
        <v>15</v>
      </c>
      <c r="J20" s="21" t="n">
        <f aca="false">COUNT(J2:J16)</f>
        <v>15</v>
      </c>
    </row>
  </sheetData>
  <autoFilter ref="A1:K16"/>
  <conditionalFormatting sqref="H2:J16">
    <cfRule type="cellIs" priority="2" operator="equal" aboveAverage="0" equalAverage="0" bottom="0" percent="0" rank="0" text="" dxfId="11">
      <formula>1</formula>
    </cfRule>
    <cfRule type="cellIs" priority="3" operator="equal" aboveAverage="0" equalAverage="0" bottom="0" percent="0" rank="0" text="" dxfId="12">
      <formula>0</formula>
    </cfRule>
  </conditionalFormatting>
  <dataValidations count="1">
    <dataValidation allowBlank="true" error="Введите 0 или 1" errorStyle="stop" errorTitle="Только 0 или 1" operator="between" showDropDown="false" showErrorMessage="true" showInputMessage="false" sqref="H2:J16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D7" activeCellId="0" sqref="D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48"/>
    <col collapsed="false" customWidth="true" hidden="false" outlineLevel="0" max="6" min="6" style="0" width="32"/>
    <col collapsed="false" customWidth="true" hidden="false" outlineLevel="0" max="7" min="7" style="0" width="45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32"/>
  </cols>
  <sheetData>
    <row r="1" customFormat="false" ht="25.5" hidden="false" customHeight="true" outlineLevel="0" collapsed="false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32</v>
      </c>
      <c r="I1" s="4" t="s">
        <v>33</v>
      </c>
      <c r="J1" s="4" t="s">
        <v>34</v>
      </c>
      <c r="K1" s="4" t="s">
        <v>57</v>
      </c>
    </row>
    <row r="2" customFormat="false" ht="51" hidden="false" customHeight="true" outlineLevel="0" collapsed="false">
      <c r="A2" s="11" t="n">
        <v>1</v>
      </c>
      <c r="B2" s="12" t="s">
        <v>58</v>
      </c>
      <c r="C2" s="11" t="s">
        <v>59</v>
      </c>
      <c r="D2" s="11" t="s">
        <v>60</v>
      </c>
      <c r="E2" s="11" t="s">
        <v>61</v>
      </c>
      <c r="F2" s="11" t="s">
        <v>62</v>
      </c>
      <c r="G2" s="13" t="s">
        <v>63</v>
      </c>
      <c r="H2" s="14" t="n">
        <v>1</v>
      </c>
      <c r="I2" s="14" t="n">
        <v>1</v>
      </c>
      <c r="J2" s="14" t="n">
        <v>1</v>
      </c>
      <c r="K2" s="15"/>
    </row>
    <row r="3" customFormat="false" ht="38.25" hidden="false" customHeight="true" outlineLevel="0" collapsed="false">
      <c r="A3" s="11" t="n">
        <v>2</v>
      </c>
      <c r="B3" s="12" t="s">
        <v>58</v>
      </c>
      <c r="C3" s="11" t="s">
        <v>64</v>
      </c>
      <c r="D3" s="11" t="s">
        <v>65</v>
      </c>
      <c r="E3" s="11" t="s">
        <v>66</v>
      </c>
      <c r="F3" s="11" t="s">
        <v>67</v>
      </c>
      <c r="G3" s="13" t="s">
        <v>139</v>
      </c>
      <c r="H3" s="14" t="n">
        <v>1</v>
      </c>
      <c r="I3" s="14" t="n">
        <v>1</v>
      </c>
      <c r="J3" s="14" t="n">
        <v>1</v>
      </c>
      <c r="K3" s="15"/>
    </row>
    <row r="4" customFormat="false" ht="63.75" hidden="false" customHeight="true" outlineLevel="0" collapsed="false">
      <c r="A4" s="11" t="n">
        <v>3</v>
      </c>
      <c r="B4" s="12" t="s">
        <v>58</v>
      </c>
      <c r="C4" s="11" t="s">
        <v>69</v>
      </c>
      <c r="D4" s="11" t="s">
        <v>70</v>
      </c>
      <c r="E4" s="11" t="s">
        <v>71</v>
      </c>
      <c r="F4" s="11" t="s">
        <v>72</v>
      </c>
      <c r="G4" s="13" t="s">
        <v>164</v>
      </c>
      <c r="H4" s="14" t="n">
        <v>1</v>
      </c>
      <c r="I4" s="14" t="n">
        <v>1</v>
      </c>
      <c r="J4" s="14" t="n">
        <v>1</v>
      </c>
      <c r="K4" s="15"/>
    </row>
    <row r="5" customFormat="false" ht="51" hidden="false" customHeight="true" outlineLevel="0" collapsed="false">
      <c r="A5" s="11" t="n">
        <v>4</v>
      </c>
      <c r="B5" s="12" t="s">
        <v>58</v>
      </c>
      <c r="C5" s="11" t="s">
        <v>74</v>
      </c>
      <c r="D5" s="11" t="s">
        <v>75</v>
      </c>
      <c r="E5" s="11" t="s">
        <v>76</v>
      </c>
      <c r="F5" s="11" t="s">
        <v>77</v>
      </c>
      <c r="G5" s="13" t="s">
        <v>141</v>
      </c>
      <c r="H5" s="14" t="n">
        <v>1</v>
      </c>
      <c r="I5" s="14" t="n">
        <v>1</v>
      </c>
      <c r="J5" s="14" t="n">
        <v>1</v>
      </c>
      <c r="K5" s="15"/>
    </row>
    <row r="6" customFormat="false" ht="51" hidden="false" customHeight="true" outlineLevel="0" collapsed="false">
      <c r="A6" s="11" t="n">
        <v>5</v>
      </c>
      <c r="B6" s="12" t="s">
        <v>58</v>
      </c>
      <c r="C6" s="11" t="s">
        <v>79</v>
      </c>
      <c r="D6" s="11" t="s">
        <v>80</v>
      </c>
      <c r="E6" s="11" t="s">
        <v>81</v>
      </c>
      <c r="F6" s="11" t="s">
        <v>82</v>
      </c>
      <c r="G6" s="13" t="s">
        <v>83</v>
      </c>
      <c r="H6" s="14" t="n">
        <v>1</v>
      </c>
      <c r="I6" s="14" t="n">
        <v>1</v>
      </c>
      <c r="J6" s="14" t="n">
        <v>1</v>
      </c>
      <c r="K6" s="15"/>
    </row>
    <row r="7" customFormat="false" ht="63.75" hidden="false" customHeight="true" outlineLevel="0" collapsed="false">
      <c r="A7" s="11" t="n">
        <v>6</v>
      </c>
      <c r="B7" s="16" t="s">
        <v>84</v>
      </c>
      <c r="C7" s="11" t="s">
        <v>85</v>
      </c>
      <c r="D7" s="11" t="s">
        <v>86</v>
      </c>
      <c r="E7" s="11" t="s">
        <v>87</v>
      </c>
      <c r="F7" s="11" t="s">
        <v>88</v>
      </c>
      <c r="G7" s="13" t="s">
        <v>89</v>
      </c>
      <c r="H7" s="14" t="n">
        <v>1</v>
      </c>
      <c r="I7" s="14" t="n">
        <v>1</v>
      </c>
      <c r="J7" s="14" t="n">
        <v>1</v>
      </c>
      <c r="K7" s="15"/>
    </row>
    <row r="8" customFormat="false" ht="51" hidden="false" customHeight="true" outlineLevel="0" collapsed="false">
      <c r="A8" s="11" t="n">
        <v>7</v>
      </c>
      <c r="B8" s="16" t="s">
        <v>84</v>
      </c>
      <c r="C8" s="11" t="s">
        <v>90</v>
      </c>
      <c r="D8" s="11" t="s">
        <v>91</v>
      </c>
      <c r="E8" s="11" t="s">
        <v>92</v>
      </c>
      <c r="F8" s="11" t="s">
        <v>82</v>
      </c>
      <c r="G8" s="13" t="s">
        <v>93</v>
      </c>
      <c r="H8" s="14" t="n">
        <v>1</v>
      </c>
      <c r="I8" s="14" t="n">
        <v>1</v>
      </c>
      <c r="J8" s="14" t="n">
        <v>1</v>
      </c>
      <c r="K8" s="15"/>
    </row>
    <row r="9" customFormat="false" ht="63.75" hidden="false" customHeight="true" outlineLevel="0" collapsed="false">
      <c r="A9" s="11" t="n">
        <v>8</v>
      </c>
      <c r="B9" s="16" t="s">
        <v>84</v>
      </c>
      <c r="C9" s="11" t="s">
        <v>94</v>
      </c>
      <c r="D9" s="11" t="s">
        <v>95</v>
      </c>
      <c r="E9" s="11" t="s">
        <v>96</v>
      </c>
      <c r="F9" s="11" t="s">
        <v>97</v>
      </c>
      <c r="G9" s="13" t="s">
        <v>98</v>
      </c>
      <c r="H9" s="14" t="n">
        <v>1</v>
      </c>
      <c r="I9" s="14" t="n">
        <v>1</v>
      </c>
      <c r="J9" s="14" t="n">
        <v>1</v>
      </c>
      <c r="K9" s="15"/>
    </row>
    <row r="10" customFormat="false" ht="140.25" hidden="false" customHeight="true" outlineLevel="0" collapsed="false">
      <c r="A10" s="11" t="n">
        <v>9</v>
      </c>
      <c r="B10" s="17" t="s">
        <v>99</v>
      </c>
      <c r="C10" s="11" t="s">
        <v>100</v>
      </c>
      <c r="D10" s="11" t="s">
        <v>101</v>
      </c>
      <c r="E10" s="11" t="s">
        <v>102</v>
      </c>
      <c r="F10" s="11" t="s">
        <v>103</v>
      </c>
      <c r="G10" s="13" t="s">
        <v>165</v>
      </c>
      <c r="H10" s="14" t="n">
        <v>0</v>
      </c>
      <c r="I10" s="14" t="n">
        <v>0</v>
      </c>
      <c r="J10" s="14" t="n">
        <v>1</v>
      </c>
      <c r="K10" s="15" t="s">
        <v>166</v>
      </c>
    </row>
    <row r="11" customFormat="false" ht="102" hidden="false" customHeight="true" outlineLevel="0" collapsed="false">
      <c r="A11" s="11" t="n">
        <v>10</v>
      </c>
      <c r="B11" s="17" t="s">
        <v>99</v>
      </c>
      <c r="C11" s="11" t="s">
        <v>106</v>
      </c>
      <c r="D11" s="11" t="s">
        <v>107</v>
      </c>
      <c r="E11" s="11" t="s">
        <v>108</v>
      </c>
      <c r="F11" s="11" t="s">
        <v>109</v>
      </c>
      <c r="G11" s="13" t="s">
        <v>167</v>
      </c>
      <c r="H11" s="14" t="n">
        <v>1</v>
      </c>
      <c r="I11" s="14" t="n">
        <v>1</v>
      </c>
      <c r="J11" s="14" t="n">
        <v>1</v>
      </c>
      <c r="K11" s="15" t="s">
        <v>168</v>
      </c>
    </row>
    <row r="12" customFormat="false" ht="140.25" hidden="false" customHeight="true" outlineLevel="0" collapsed="false">
      <c r="A12" s="11" t="n">
        <v>11</v>
      </c>
      <c r="B12" s="17" t="s">
        <v>99</v>
      </c>
      <c r="C12" s="11" t="s">
        <v>111</v>
      </c>
      <c r="D12" s="11" t="s">
        <v>112</v>
      </c>
      <c r="E12" s="11" t="s">
        <v>113</v>
      </c>
      <c r="F12" s="11" t="s">
        <v>114</v>
      </c>
      <c r="G12" s="13" t="s">
        <v>169</v>
      </c>
      <c r="H12" s="14" t="n">
        <v>1</v>
      </c>
      <c r="I12" s="14" t="n">
        <v>1</v>
      </c>
      <c r="J12" s="14" t="n">
        <v>1</v>
      </c>
      <c r="K12" s="15"/>
    </row>
    <row r="13" customFormat="false" ht="25.5" hidden="false" customHeight="true" outlineLevel="0" collapsed="false">
      <c r="A13" s="11" t="n">
        <v>12</v>
      </c>
      <c r="B13" s="18" t="s">
        <v>116</v>
      </c>
      <c r="C13" s="11" t="s">
        <v>117</v>
      </c>
      <c r="D13" s="11" t="s">
        <v>118</v>
      </c>
      <c r="E13" s="11" t="s">
        <v>119</v>
      </c>
      <c r="F13" s="11" t="s">
        <v>120</v>
      </c>
      <c r="G13" s="13" t="s">
        <v>119</v>
      </c>
      <c r="H13" s="14" t="n">
        <v>1</v>
      </c>
      <c r="I13" s="14" t="n">
        <v>1</v>
      </c>
      <c r="J13" s="14" t="n">
        <v>1</v>
      </c>
      <c r="K13" s="15"/>
    </row>
    <row r="14" customFormat="false" ht="25.5" hidden="false" customHeight="true" outlineLevel="0" collapsed="false">
      <c r="A14" s="11" t="n">
        <v>13</v>
      </c>
      <c r="B14" s="18" t="s">
        <v>116</v>
      </c>
      <c r="C14" s="11" t="s">
        <v>121</v>
      </c>
      <c r="D14" s="11" t="s">
        <v>122</v>
      </c>
      <c r="E14" s="11" t="s">
        <v>119</v>
      </c>
      <c r="F14" s="11" t="s">
        <v>120</v>
      </c>
      <c r="G14" s="13" t="s">
        <v>119</v>
      </c>
      <c r="H14" s="14" t="n">
        <v>1</v>
      </c>
      <c r="I14" s="14" t="n">
        <v>1</v>
      </c>
      <c r="J14" s="14" t="n">
        <v>1</v>
      </c>
      <c r="K14" s="15"/>
    </row>
    <row r="15" customFormat="false" ht="51" hidden="false" customHeight="true" outlineLevel="0" collapsed="false">
      <c r="A15" s="11" t="n">
        <v>14</v>
      </c>
      <c r="B15" s="18" t="s">
        <v>123</v>
      </c>
      <c r="C15" s="11" t="s">
        <v>124</v>
      </c>
      <c r="D15" s="11" t="s">
        <v>125</v>
      </c>
      <c r="E15" s="11" t="s">
        <v>126</v>
      </c>
      <c r="F15" s="11" t="s">
        <v>127</v>
      </c>
      <c r="G15" s="13" t="s">
        <v>128</v>
      </c>
      <c r="H15" s="14" t="n">
        <v>1</v>
      </c>
      <c r="I15" s="14" t="n">
        <v>0</v>
      </c>
      <c r="J15" s="14" t="n">
        <v>1</v>
      </c>
      <c r="K15" s="15" t="s">
        <v>162</v>
      </c>
    </row>
    <row r="16" customFormat="false" ht="75" hidden="false" customHeight="true" outlineLevel="0" collapsed="false">
      <c r="A16" s="11" t="n">
        <v>15</v>
      </c>
      <c r="B16" s="19" t="s">
        <v>130</v>
      </c>
      <c r="C16" s="11" t="s">
        <v>59</v>
      </c>
      <c r="D16" s="11" t="s">
        <v>131</v>
      </c>
      <c r="E16" s="11" t="s">
        <v>132</v>
      </c>
      <c r="F16" s="11" t="s">
        <v>88</v>
      </c>
      <c r="G16" s="13" t="s">
        <v>170</v>
      </c>
      <c r="H16" s="14" t="n">
        <v>1</v>
      </c>
      <c r="I16" s="14" t="n">
        <v>1</v>
      </c>
      <c r="J16" s="14" t="n">
        <v>1</v>
      </c>
      <c r="K16" s="15"/>
    </row>
    <row r="18" customFormat="false" ht="15" hidden="false" customHeight="false" outlineLevel="0" collapsed="false">
      <c r="G18" s="20" t="s">
        <v>134</v>
      </c>
      <c r="H18" s="21" t="n">
        <f aca="false">SUM(H2:H16)</f>
        <v>14</v>
      </c>
      <c r="I18" s="21" t="n">
        <f aca="false">SUM(I2:I16)</f>
        <v>13</v>
      </c>
      <c r="J18" s="21" t="n">
        <f aca="false">SUM(J2:J16)</f>
        <v>15</v>
      </c>
    </row>
    <row r="19" customFormat="false" ht="15" hidden="false" customHeight="false" outlineLevel="0" collapsed="false">
      <c r="G19" s="20" t="s">
        <v>135</v>
      </c>
      <c r="H19" s="22" t="n">
        <f aca="false">IF(COUNT(H2:H16)=0,"",SUM(H2:H16)/COUNT(H2:H16))</f>
        <v>0.933333333333333</v>
      </c>
      <c r="I19" s="22" t="n">
        <f aca="false">IF(COUNT(I2:I16)=0,"",SUM(I2:I16)/COUNT(I2:I16))</f>
        <v>0.866666666666667</v>
      </c>
      <c r="J19" s="22" t="n">
        <f aca="false">IF(COUNT(J2:J16)=0,"",SUM(J2:J16)/COUNT(J2:J16))</f>
        <v>1</v>
      </c>
    </row>
    <row r="20" customFormat="false" ht="15" hidden="false" customHeight="false" outlineLevel="0" collapsed="false">
      <c r="G20" s="20" t="s">
        <v>136</v>
      </c>
      <c r="H20" s="21" t="n">
        <f aca="false">COUNT(H2:H16)</f>
        <v>15</v>
      </c>
      <c r="I20" s="21" t="n">
        <f aca="false">COUNT(I2:I16)</f>
        <v>15</v>
      </c>
      <c r="J20" s="21" t="n">
        <f aca="false">COUNT(J2:J16)</f>
        <v>15</v>
      </c>
    </row>
  </sheetData>
  <autoFilter ref="A1:K16"/>
  <conditionalFormatting sqref="H2:J16">
    <cfRule type="cellIs" priority="2" operator="equal" aboveAverage="0" equalAverage="0" bottom="0" percent="0" rank="0" text="" dxfId="11">
      <formula>1</formula>
    </cfRule>
    <cfRule type="cellIs" priority="3" operator="equal" aboveAverage="0" equalAverage="0" bottom="0" percent="0" rank="0" text="" dxfId="12">
      <formula>0</formula>
    </cfRule>
  </conditionalFormatting>
  <dataValidations count="1">
    <dataValidation allowBlank="true" error="Введите 0 или 1" errorStyle="stop" errorTitle="Только 0 или 1" operator="between" showDropDown="false" showErrorMessage="true" showInputMessage="false" sqref="H2:J16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D11" activeCellId="0" sqref="D1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48"/>
    <col collapsed="false" customWidth="true" hidden="false" outlineLevel="0" max="6" min="6" style="0" width="32"/>
    <col collapsed="false" customWidth="true" hidden="false" outlineLevel="0" max="7" min="7" style="0" width="45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32"/>
  </cols>
  <sheetData>
    <row r="1" customFormat="false" ht="25.5" hidden="false" customHeight="true" outlineLevel="0" collapsed="false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32</v>
      </c>
      <c r="I1" s="4" t="s">
        <v>33</v>
      </c>
      <c r="J1" s="4" t="s">
        <v>34</v>
      </c>
      <c r="K1" s="4" t="s">
        <v>57</v>
      </c>
    </row>
    <row r="2" customFormat="false" ht="51" hidden="false" customHeight="true" outlineLevel="0" collapsed="false">
      <c r="A2" s="11" t="n">
        <v>1</v>
      </c>
      <c r="B2" s="12" t="s">
        <v>58</v>
      </c>
      <c r="C2" s="11" t="s">
        <v>59</v>
      </c>
      <c r="D2" s="11" t="s">
        <v>60</v>
      </c>
      <c r="E2" s="11" t="s">
        <v>61</v>
      </c>
      <c r="F2" s="11" t="s">
        <v>62</v>
      </c>
      <c r="G2" s="13" t="s">
        <v>63</v>
      </c>
      <c r="H2" s="14" t="n">
        <v>1</v>
      </c>
      <c r="I2" s="14" t="n">
        <v>1</v>
      </c>
      <c r="J2" s="14" t="n">
        <v>1</v>
      </c>
      <c r="K2" s="15"/>
    </row>
    <row r="3" customFormat="false" ht="51" hidden="false" customHeight="true" outlineLevel="0" collapsed="false">
      <c r="A3" s="11" t="n">
        <v>2</v>
      </c>
      <c r="B3" s="12" t="s">
        <v>58</v>
      </c>
      <c r="C3" s="11" t="s">
        <v>64</v>
      </c>
      <c r="D3" s="11" t="s">
        <v>65</v>
      </c>
      <c r="E3" s="11" t="s">
        <v>66</v>
      </c>
      <c r="F3" s="11" t="s">
        <v>67</v>
      </c>
      <c r="G3" s="13" t="s">
        <v>68</v>
      </c>
      <c r="H3" s="14" t="n">
        <v>1</v>
      </c>
      <c r="I3" s="14" t="n">
        <v>1</v>
      </c>
      <c r="J3" s="14" t="n">
        <v>1</v>
      </c>
      <c r="K3" s="15"/>
    </row>
    <row r="4" customFormat="false" ht="89.25" hidden="false" customHeight="true" outlineLevel="0" collapsed="false">
      <c r="A4" s="11" t="n">
        <v>3</v>
      </c>
      <c r="B4" s="12" t="s">
        <v>58</v>
      </c>
      <c r="C4" s="11" t="s">
        <v>69</v>
      </c>
      <c r="D4" s="11" t="s">
        <v>70</v>
      </c>
      <c r="E4" s="11" t="s">
        <v>71</v>
      </c>
      <c r="F4" s="11" t="s">
        <v>72</v>
      </c>
      <c r="G4" s="13" t="s">
        <v>171</v>
      </c>
      <c r="H4" s="14" t="n">
        <v>1</v>
      </c>
      <c r="I4" s="14" t="n">
        <v>1</v>
      </c>
      <c r="J4" s="14" t="n">
        <v>1</v>
      </c>
      <c r="K4" s="15"/>
    </row>
    <row r="5" customFormat="false" ht="51" hidden="false" customHeight="true" outlineLevel="0" collapsed="false">
      <c r="A5" s="11" t="n">
        <v>4</v>
      </c>
      <c r="B5" s="12" t="s">
        <v>58</v>
      </c>
      <c r="C5" s="11" t="s">
        <v>74</v>
      </c>
      <c r="D5" s="11" t="s">
        <v>75</v>
      </c>
      <c r="E5" s="11" t="s">
        <v>76</v>
      </c>
      <c r="F5" s="11" t="s">
        <v>77</v>
      </c>
      <c r="G5" s="13" t="s">
        <v>172</v>
      </c>
      <c r="H5" s="14" t="n">
        <v>1</v>
      </c>
      <c r="I5" s="14" t="n">
        <v>1</v>
      </c>
      <c r="J5" s="14" t="n">
        <v>1</v>
      </c>
      <c r="K5" s="15"/>
    </row>
    <row r="6" customFormat="false" ht="51" hidden="false" customHeight="true" outlineLevel="0" collapsed="false">
      <c r="A6" s="11" t="n">
        <v>5</v>
      </c>
      <c r="B6" s="12" t="s">
        <v>58</v>
      </c>
      <c r="C6" s="11" t="s">
        <v>79</v>
      </c>
      <c r="D6" s="11" t="s">
        <v>80</v>
      </c>
      <c r="E6" s="11" t="s">
        <v>81</v>
      </c>
      <c r="F6" s="11" t="s">
        <v>82</v>
      </c>
      <c r="G6" s="13" t="s">
        <v>83</v>
      </c>
      <c r="H6" s="14" t="n">
        <v>1</v>
      </c>
      <c r="I6" s="14" t="n">
        <v>1</v>
      </c>
      <c r="J6" s="14" t="n">
        <v>1</v>
      </c>
      <c r="K6" s="15"/>
    </row>
    <row r="7" customFormat="false" ht="63.75" hidden="false" customHeight="true" outlineLevel="0" collapsed="false">
      <c r="A7" s="11" t="n">
        <v>6</v>
      </c>
      <c r="B7" s="16" t="s">
        <v>84</v>
      </c>
      <c r="C7" s="11" t="s">
        <v>85</v>
      </c>
      <c r="D7" s="11" t="s">
        <v>86</v>
      </c>
      <c r="E7" s="11" t="s">
        <v>87</v>
      </c>
      <c r="F7" s="11" t="s">
        <v>88</v>
      </c>
      <c r="G7" s="13" t="s">
        <v>89</v>
      </c>
      <c r="H7" s="14" t="n">
        <v>1</v>
      </c>
      <c r="I7" s="14" t="n">
        <v>1</v>
      </c>
      <c r="J7" s="14" t="n">
        <v>1</v>
      </c>
      <c r="K7" s="15"/>
    </row>
    <row r="8" customFormat="false" ht="51" hidden="false" customHeight="true" outlineLevel="0" collapsed="false">
      <c r="A8" s="11" t="n">
        <v>7</v>
      </c>
      <c r="B8" s="16" t="s">
        <v>84</v>
      </c>
      <c r="C8" s="11" t="s">
        <v>90</v>
      </c>
      <c r="D8" s="11" t="s">
        <v>91</v>
      </c>
      <c r="E8" s="11" t="s">
        <v>92</v>
      </c>
      <c r="F8" s="11" t="s">
        <v>82</v>
      </c>
      <c r="G8" s="13" t="s">
        <v>93</v>
      </c>
      <c r="H8" s="14" t="n">
        <v>1</v>
      </c>
      <c r="I8" s="14" t="n">
        <v>1</v>
      </c>
      <c r="J8" s="14" t="n">
        <v>1</v>
      </c>
      <c r="K8" s="15"/>
    </row>
    <row r="9" customFormat="false" ht="63.75" hidden="false" customHeight="true" outlineLevel="0" collapsed="false">
      <c r="A9" s="11" t="n">
        <v>8</v>
      </c>
      <c r="B9" s="16" t="s">
        <v>84</v>
      </c>
      <c r="C9" s="11" t="s">
        <v>94</v>
      </c>
      <c r="D9" s="11" t="s">
        <v>95</v>
      </c>
      <c r="E9" s="11" t="s">
        <v>96</v>
      </c>
      <c r="F9" s="11" t="s">
        <v>97</v>
      </c>
      <c r="G9" s="13" t="s">
        <v>98</v>
      </c>
      <c r="H9" s="14" t="n">
        <v>1</v>
      </c>
      <c r="I9" s="14" t="n">
        <v>1</v>
      </c>
      <c r="J9" s="14" t="n">
        <v>1</v>
      </c>
      <c r="K9" s="15"/>
    </row>
    <row r="10" customFormat="false" ht="127.5" hidden="false" customHeight="true" outlineLevel="0" collapsed="false">
      <c r="A10" s="11" t="n">
        <v>9</v>
      </c>
      <c r="B10" s="17" t="s">
        <v>99</v>
      </c>
      <c r="C10" s="11" t="s">
        <v>100</v>
      </c>
      <c r="D10" s="11" t="s">
        <v>101</v>
      </c>
      <c r="E10" s="11" t="s">
        <v>102</v>
      </c>
      <c r="F10" s="11" t="s">
        <v>103</v>
      </c>
      <c r="G10" s="13" t="s">
        <v>173</v>
      </c>
      <c r="H10" s="14" t="n">
        <v>0</v>
      </c>
      <c r="I10" s="14" t="n">
        <v>0</v>
      </c>
      <c r="J10" s="14" t="n">
        <v>1</v>
      </c>
      <c r="K10" s="15" t="s">
        <v>174</v>
      </c>
    </row>
    <row r="11" customFormat="false" ht="76.5" hidden="false" customHeight="true" outlineLevel="0" collapsed="false">
      <c r="A11" s="11" t="n">
        <v>10</v>
      </c>
      <c r="B11" s="17" t="s">
        <v>99</v>
      </c>
      <c r="C11" s="11" t="s">
        <v>106</v>
      </c>
      <c r="D11" s="11" t="s">
        <v>107</v>
      </c>
      <c r="E11" s="11" t="s">
        <v>108</v>
      </c>
      <c r="F11" s="11" t="s">
        <v>109</v>
      </c>
      <c r="G11" s="13" t="s">
        <v>175</v>
      </c>
      <c r="H11" s="14" t="n">
        <v>1</v>
      </c>
      <c r="I11" s="14" t="n">
        <v>1</v>
      </c>
      <c r="J11" s="14" t="n">
        <v>1</v>
      </c>
      <c r="K11" s="15"/>
    </row>
    <row r="12" customFormat="false" ht="114.75" hidden="false" customHeight="true" outlineLevel="0" collapsed="false">
      <c r="A12" s="11" t="n">
        <v>11</v>
      </c>
      <c r="B12" s="17" t="s">
        <v>99</v>
      </c>
      <c r="C12" s="11" t="s">
        <v>111</v>
      </c>
      <c r="D12" s="11" t="s">
        <v>112</v>
      </c>
      <c r="E12" s="11" t="s">
        <v>113</v>
      </c>
      <c r="F12" s="11" t="s">
        <v>114</v>
      </c>
      <c r="G12" s="13" t="s">
        <v>176</v>
      </c>
      <c r="H12" s="14" t="n">
        <v>1</v>
      </c>
      <c r="I12" s="14" t="n">
        <v>1</v>
      </c>
      <c r="J12" s="14" t="n">
        <v>1</v>
      </c>
      <c r="K12" s="15"/>
    </row>
    <row r="13" customFormat="false" ht="25.5" hidden="false" customHeight="true" outlineLevel="0" collapsed="false">
      <c r="A13" s="11" t="n">
        <v>12</v>
      </c>
      <c r="B13" s="18" t="s">
        <v>116</v>
      </c>
      <c r="C13" s="11" t="s">
        <v>117</v>
      </c>
      <c r="D13" s="11" t="s">
        <v>118</v>
      </c>
      <c r="E13" s="11" t="s">
        <v>119</v>
      </c>
      <c r="F13" s="11" t="s">
        <v>120</v>
      </c>
      <c r="G13" s="13" t="s">
        <v>119</v>
      </c>
      <c r="H13" s="14" t="n">
        <v>1</v>
      </c>
      <c r="I13" s="14" t="n">
        <v>1</v>
      </c>
      <c r="J13" s="14" t="n">
        <v>1</v>
      </c>
      <c r="K13" s="15"/>
    </row>
    <row r="14" customFormat="false" ht="25.5" hidden="false" customHeight="true" outlineLevel="0" collapsed="false">
      <c r="A14" s="11" t="n">
        <v>13</v>
      </c>
      <c r="B14" s="18" t="s">
        <v>116</v>
      </c>
      <c r="C14" s="11" t="s">
        <v>121</v>
      </c>
      <c r="D14" s="11" t="s">
        <v>122</v>
      </c>
      <c r="E14" s="11" t="s">
        <v>119</v>
      </c>
      <c r="F14" s="11" t="s">
        <v>120</v>
      </c>
      <c r="G14" s="13" t="s">
        <v>119</v>
      </c>
      <c r="H14" s="14" t="n">
        <v>1</v>
      </c>
      <c r="I14" s="14" t="n">
        <v>1</v>
      </c>
      <c r="J14" s="14" t="n">
        <v>1</v>
      </c>
      <c r="K14" s="15"/>
    </row>
    <row r="15" customFormat="false" ht="51" hidden="false" customHeight="true" outlineLevel="0" collapsed="false">
      <c r="A15" s="11" t="n">
        <v>14</v>
      </c>
      <c r="B15" s="18" t="s">
        <v>123</v>
      </c>
      <c r="C15" s="11" t="s">
        <v>124</v>
      </c>
      <c r="D15" s="11" t="s">
        <v>125</v>
      </c>
      <c r="E15" s="11" t="s">
        <v>126</v>
      </c>
      <c r="F15" s="11" t="s">
        <v>127</v>
      </c>
      <c r="G15" s="13" t="s">
        <v>119</v>
      </c>
      <c r="H15" s="14" t="n">
        <v>1</v>
      </c>
      <c r="I15" s="14" t="n">
        <v>1</v>
      </c>
      <c r="J15" s="14" t="n">
        <v>1</v>
      </c>
      <c r="K15" s="15" t="s">
        <v>177</v>
      </c>
    </row>
    <row r="16" customFormat="false" ht="75" hidden="false" customHeight="true" outlineLevel="0" collapsed="false">
      <c r="A16" s="11" t="n">
        <v>15</v>
      </c>
      <c r="B16" s="19" t="s">
        <v>130</v>
      </c>
      <c r="C16" s="11" t="s">
        <v>59</v>
      </c>
      <c r="D16" s="11" t="s">
        <v>131</v>
      </c>
      <c r="E16" s="11" t="s">
        <v>132</v>
      </c>
      <c r="F16" s="11" t="s">
        <v>88</v>
      </c>
      <c r="G16" s="13" t="s">
        <v>170</v>
      </c>
      <c r="H16" s="14" t="n">
        <v>1</v>
      </c>
      <c r="I16" s="14" t="n">
        <v>1</v>
      </c>
      <c r="J16" s="14" t="n">
        <v>1</v>
      </c>
      <c r="K16" s="15"/>
    </row>
    <row r="18" customFormat="false" ht="15" hidden="false" customHeight="false" outlineLevel="0" collapsed="false">
      <c r="G18" s="20" t="s">
        <v>134</v>
      </c>
      <c r="H18" s="21" t="n">
        <f aca="false">SUM(H2:H16)</f>
        <v>14</v>
      </c>
      <c r="I18" s="21" t="n">
        <f aca="false">SUM(I2:I16)</f>
        <v>14</v>
      </c>
      <c r="J18" s="21" t="n">
        <f aca="false">SUM(J2:J16)</f>
        <v>15</v>
      </c>
    </row>
    <row r="19" customFormat="false" ht="15" hidden="false" customHeight="false" outlineLevel="0" collapsed="false">
      <c r="G19" s="20" t="s">
        <v>135</v>
      </c>
      <c r="H19" s="22" t="n">
        <f aca="false">IF(COUNT(H2:H16)=0,"",SUM(H2:H16)/COUNT(H2:H16))</f>
        <v>0.933333333333333</v>
      </c>
      <c r="I19" s="22" t="n">
        <f aca="false">IF(COUNT(I2:I16)=0,"",SUM(I2:I16)/COUNT(I2:I16))</f>
        <v>0.933333333333333</v>
      </c>
      <c r="J19" s="22" t="n">
        <f aca="false">IF(COUNT(J2:J16)=0,"",SUM(J2:J16)/COUNT(J2:J16))</f>
        <v>1</v>
      </c>
    </row>
    <row r="20" customFormat="false" ht="15" hidden="false" customHeight="false" outlineLevel="0" collapsed="false">
      <c r="G20" s="20" t="s">
        <v>136</v>
      </c>
      <c r="H20" s="21" t="n">
        <f aca="false">COUNT(H2:H16)</f>
        <v>15</v>
      </c>
      <c r="I20" s="21" t="n">
        <f aca="false">COUNT(I2:I16)</f>
        <v>15</v>
      </c>
      <c r="J20" s="21" t="n">
        <f aca="false">COUNT(J2:J16)</f>
        <v>15</v>
      </c>
    </row>
  </sheetData>
  <autoFilter ref="A1:K16"/>
  <conditionalFormatting sqref="H2:J16">
    <cfRule type="cellIs" priority="2" operator="equal" aboveAverage="0" equalAverage="0" bottom="0" percent="0" rank="0" text="" dxfId="11">
      <formula>1</formula>
    </cfRule>
    <cfRule type="cellIs" priority="3" operator="equal" aboveAverage="0" equalAverage="0" bottom="0" percent="0" rank="0" text="" dxfId="12">
      <formula>0</formula>
    </cfRule>
  </conditionalFormatting>
  <dataValidations count="1">
    <dataValidation allowBlank="true" error="Введите 0 или 1" errorStyle="stop" errorTitle="Только 0 или 1" operator="between" showDropDown="false" showErrorMessage="true" showInputMessage="false" sqref="H2:J16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F11" activePane="bottomRight" state="frozen"/>
      <selection pane="topLeft" activeCell="A1" activeCellId="0" sqref="A1"/>
      <selection pane="topRight" activeCell="F1" activeCellId="0" sqref="F1"/>
      <selection pane="bottomLeft" activeCell="A11" activeCellId="0" sqref="A11"/>
      <selection pane="bottomRight" activeCell="F17" activeCellId="0" sqref="F1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48"/>
    <col collapsed="false" customWidth="true" hidden="false" outlineLevel="0" max="6" min="6" style="0" width="32"/>
    <col collapsed="false" customWidth="true" hidden="false" outlineLevel="0" max="7" min="7" style="0" width="45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32"/>
  </cols>
  <sheetData>
    <row r="1" customFormat="false" ht="25.5" hidden="false" customHeight="true" outlineLevel="0" collapsed="false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32</v>
      </c>
      <c r="I1" s="4" t="s">
        <v>33</v>
      </c>
      <c r="J1" s="4" t="s">
        <v>34</v>
      </c>
      <c r="K1" s="4" t="s">
        <v>57</v>
      </c>
    </row>
    <row r="2" customFormat="false" ht="51" hidden="false" customHeight="true" outlineLevel="0" collapsed="false">
      <c r="A2" s="11" t="n">
        <v>1</v>
      </c>
      <c r="B2" s="12" t="s">
        <v>58</v>
      </c>
      <c r="C2" s="11" t="s">
        <v>59</v>
      </c>
      <c r="D2" s="11" t="s">
        <v>60</v>
      </c>
      <c r="E2" s="11" t="s">
        <v>61</v>
      </c>
      <c r="F2" s="11" t="s">
        <v>62</v>
      </c>
      <c r="G2" s="13" t="s">
        <v>63</v>
      </c>
      <c r="H2" s="14" t="n">
        <v>1</v>
      </c>
      <c r="I2" s="14" t="n">
        <v>1</v>
      </c>
      <c r="J2" s="14" t="n">
        <v>1</v>
      </c>
      <c r="K2" s="15"/>
    </row>
    <row r="3" customFormat="false" ht="51" hidden="false" customHeight="true" outlineLevel="0" collapsed="false">
      <c r="A3" s="11" t="n">
        <v>2</v>
      </c>
      <c r="B3" s="12" t="s">
        <v>58</v>
      </c>
      <c r="C3" s="11" t="s">
        <v>64</v>
      </c>
      <c r="D3" s="11" t="s">
        <v>65</v>
      </c>
      <c r="E3" s="11" t="s">
        <v>66</v>
      </c>
      <c r="F3" s="11" t="s">
        <v>67</v>
      </c>
      <c r="G3" s="13" t="s">
        <v>68</v>
      </c>
      <c r="H3" s="14" t="n">
        <v>1</v>
      </c>
      <c r="I3" s="14" t="n">
        <v>1</v>
      </c>
      <c r="J3" s="14" t="n">
        <v>1</v>
      </c>
      <c r="K3" s="15"/>
    </row>
    <row r="4" customFormat="false" ht="89.25" hidden="false" customHeight="true" outlineLevel="0" collapsed="false">
      <c r="A4" s="11" t="n">
        <v>3</v>
      </c>
      <c r="B4" s="12" t="s">
        <v>58</v>
      </c>
      <c r="C4" s="11" t="s">
        <v>69</v>
      </c>
      <c r="D4" s="11" t="s">
        <v>70</v>
      </c>
      <c r="E4" s="11" t="s">
        <v>71</v>
      </c>
      <c r="F4" s="11" t="s">
        <v>72</v>
      </c>
      <c r="G4" s="13" t="s">
        <v>178</v>
      </c>
      <c r="H4" s="14" t="n">
        <v>1</v>
      </c>
      <c r="I4" s="14" t="n">
        <v>1</v>
      </c>
      <c r="J4" s="14" t="n">
        <v>1</v>
      </c>
      <c r="K4" s="15" t="s">
        <v>179</v>
      </c>
    </row>
    <row r="5" customFormat="false" ht="51" hidden="false" customHeight="true" outlineLevel="0" collapsed="false">
      <c r="A5" s="11" t="n">
        <v>4</v>
      </c>
      <c r="B5" s="12" t="s">
        <v>58</v>
      </c>
      <c r="C5" s="11" t="s">
        <v>74</v>
      </c>
      <c r="D5" s="11" t="s">
        <v>75</v>
      </c>
      <c r="E5" s="11" t="s">
        <v>76</v>
      </c>
      <c r="F5" s="11" t="s">
        <v>77</v>
      </c>
      <c r="G5" s="13" t="s">
        <v>180</v>
      </c>
      <c r="H5" s="14" t="n">
        <v>1</v>
      </c>
      <c r="I5" s="14" t="n">
        <v>1</v>
      </c>
      <c r="J5" s="14" t="n">
        <v>1</v>
      </c>
      <c r="K5" s="15"/>
    </row>
    <row r="6" customFormat="false" ht="51" hidden="false" customHeight="true" outlineLevel="0" collapsed="false">
      <c r="A6" s="11" t="n">
        <v>5</v>
      </c>
      <c r="B6" s="12" t="s">
        <v>58</v>
      </c>
      <c r="C6" s="11" t="s">
        <v>79</v>
      </c>
      <c r="D6" s="11" t="s">
        <v>80</v>
      </c>
      <c r="E6" s="11" t="s">
        <v>81</v>
      </c>
      <c r="F6" s="11" t="s">
        <v>82</v>
      </c>
      <c r="G6" s="13" t="s">
        <v>181</v>
      </c>
      <c r="H6" s="14" t="n">
        <v>1</v>
      </c>
      <c r="I6" s="14" t="n">
        <v>1</v>
      </c>
      <c r="J6" s="14" t="n">
        <v>1</v>
      </c>
      <c r="K6" s="15"/>
    </row>
    <row r="7" customFormat="false" ht="63.75" hidden="false" customHeight="true" outlineLevel="0" collapsed="false">
      <c r="A7" s="11" t="n">
        <v>6</v>
      </c>
      <c r="B7" s="16" t="s">
        <v>84</v>
      </c>
      <c r="C7" s="11" t="s">
        <v>85</v>
      </c>
      <c r="D7" s="11" t="s">
        <v>86</v>
      </c>
      <c r="E7" s="11" t="s">
        <v>87</v>
      </c>
      <c r="F7" s="11" t="s">
        <v>88</v>
      </c>
      <c r="G7" s="13" t="s">
        <v>182</v>
      </c>
      <c r="H7" s="14" t="n">
        <v>1</v>
      </c>
      <c r="I7" s="14" t="n">
        <v>1</v>
      </c>
      <c r="J7" s="14" t="n">
        <v>1</v>
      </c>
      <c r="K7" s="15"/>
    </row>
    <row r="8" customFormat="false" ht="51" hidden="false" customHeight="true" outlineLevel="0" collapsed="false">
      <c r="A8" s="11" t="n">
        <v>7</v>
      </c>
      <c r="B8" s="16" t="s">
        <v>84</v>
      </c>
      <c r="C8" s="11" t="s">
        <v>90</v>
      </c>
      <c r="D8" s="11" t="s">
        <v>91</v>
      </c>
      <c r="E8" s="11" t="s">
        <v>92</v>
      </c>
      <c r="F8" s="11" t="s">
        <v>82</v>
      </c>
      <c r="G8" s="13" t="s">
        <v>93</v>
      </c>
      <c r="H8" s="14" t="n">
        <v>1</v>
      </c>
      <c r="I8" s="14" t="n">
        <v>1</v>
      </c>
      <c r="J8" s="14" t="n">
        <v>1</v>
      </c>
      <c r="K8" s="15"/>
    </row>
    <row r="9" customFormat="false" ht="102" hidden="false" customHeight="true" outlineLevel="0" collapsed="false">
      <c r="A9" s="11" t="n">
        <v>8</v>
      </c>
      <c r="B9" s="16" t="s">
        <v>84</v>
      </c>
      <c r="C9" s="11" t="s">
        <v>94</v>
      </c>
      <c r="D9" s="11" t="s">
        <v>95</v>
      </c>
      <c r="E9" s="11" t="s">
        <v>96</v>
      </c>
      <c r="F9" s="11" t="s">
        <v>97</v>
      </c>
      <c r="G9" s="13" t="s">
        <v>183</v>
      </c>
      <c r="H9" s="14" t="n">
        <v>1</v>
      </c>
      <c r="I9" s="14" t="n">
        <v>1</v>
      </c>
      <c r="J9" s="14" t="n">
        <v>1</v>
      </c>
      <c r="K9" s="15"/>
    </row>
    <row r="10" customFormat="false" ht="127.5" hidden="false" customHeight="true" outlineLevel="0" collapsed="false">
      <c r="A10" s="11" t="n">
        <v>9</v>
      </c>
      <c r="B10" s="17" t="s">
        <v>99</v>
      </c>
      <c r="C10" s="11" t="s">
        <v>100</v>
      </c>
      <c r="D10" s="11" t="s">
        <v>101</v>
      </c>
      <c r="E10" s="11" t="s">
        <v>102</v>
      </c>
      <c r="F10" s="11" t="s">
        <v>103</v>
      </c>
      <c r="G10" s="13" t="s">
        <v>184</v>
      </c>
      <c r="H10" s="14" t="n">
        <v>0</v>
      </c>
      <c r="I10" s="14" t="n">
        <v>0</v>
      </c>
      <c r="J10" s="14" t="n">
        <v>1</v>
      </c>
      <c r="K10" s="15" t="s">
        <v>185</v>
      </c>
    </row>
    <row r="11" customFormat="false" ht="127.5" hidden="false" customHeight="true" outlineLevel="0" collapsed="false">
      <c r="A11" s="11" t="n">
        <v>10</v>
      </c>
      <c r="B11" s="17" t="s">
        <v>99</v>
      </c>
      <c r="C11" s="11" t="s">
        <v>106</v>
      </c>
      <c r="D11" s="11" t="s">
        <v>107</v>
      </c>
      <c r="E11" s="11" t="s">
        <v>108</v>
      </c>
      <c r="F11" s="11" t="s">
        <v>109</v>
      </c>
      <c r="G11" s="13" t="s">
        <v>186</v>
      </c>
      <c r="H11" s="14" t="n">
        <v>1</v>
      </c>
      <c r="I11" s="14" t="n">
        <v>1</v>
      </c>
      <c r="J11" s="14" t="n">
        <v>1</v>
      </c>
      <c r="K11" s="15"/>
    </row>
    <row r="12" customFormat="false" ht="153" hidden="false" customHeight="true" outlineLevel="0" collapsed="false">
      <c r="A12" s="11" t="n">
        <v>11</v>
      </c>
      <c r="B12" s="17" t="s">
        <v>99</v>
      </c>
      <c r="C12" s="11" t="s">
        <v>111</v>
      </c>
      <c r="D12" s="11" t="s">
        <v>112</v>
      </c>
      <c r="E12" s="11" t="s">
        <v>113</v>
      </c>
      <c r="F12" s="11" t="s">
        <v>114</v>
      </c>
      <c r="G12" s="13" t="s">
        <v>187</v>
      </c>
      <c r="H12" s="14" t="n">
        <v>1</v>
      </c>
      <c r="I12" s="14" t="n">
        <v>0</v>
      </c>
      <c r="J12" s="14" t="n">
        <v>1</v>
      </c>
      <c r="K12" s="15" t="s">
        <v>188</v>
      </c>
    </row>
    <row r="13" customFormat="false" ht="25.5" hidden="false" customHeight="true" outlineLevel="0" collapsed="false">
      <c r="A13" s="11" t="n">
        <v>12</v>
      </c>
      <c r="B13" s="18" t="s">
        <v>116</v>
      </c>
      <c r="C13" s="11" t="s">
        <v>117</v>
      </c>
      <c r="D13" s="11" t="s">
        <v>118</v>
      </c>
      <c r="E13" s="11" t="s">
        <v>119</v>
      </c>
      <c r="F13" s="11" t="s">
        <v>120</v>
      </c>
      <c r="G13" s="13" t="s">
        <v>119</v>
      </c>
      <c r="H13" s="14" t="n">
        <v>1</v>
      </c>
      <c r="I13" s="14" t="n">
        <v>1</v>
      </c>
      <c r="J13" s="14" t="n">
        <v>1</v>
      </c>
      <c r="K13" s="15"/>
    </row>
    <row r="14" customFormat="false" ht="25.5" hidden="false" customHeight="true" outlineLevel="0" collapsed="false">
      <c r="A14" s="11" t="n">
        <v>13</v>
      </c>
      <c r="B14" s="18" t="s">
        <v>116</v>
      </c>
      <c r="C14" s="11" t="s">
        <v>121</v>
      </c>
      <c r="D14" s="11" t="s">
        <v>122</v>
      </c>
      <c r="E14" s="11" t="s">
        <v>119</v>
      </c>
      <c r="F14" s="11" t="s">
        <v>120</v>
      </c>
      <c r="G14" s="13" t="s">
        <v>119</v>
      </c>
      <c r="H14" s="14" t="n">
        <v>1</v>
      </c>
      <c r="I14" s="14" t="n">
        <v>1</v>
      </c>
      <c r="J14" s="14" t="n">
        <v>1</v>
      </c>
      <c r="K14" s="15"/>
    </row>
    <row r="15" customFormat="false" ht="51" hidden="false" customHeight="true" outlineLevel="0" collapsed="false">
      <c r="A15" s="11" t="n">
        <v>14</v>
      </c>
      <c r="B15" s="18" t="s">
        <v>123</v>
      </c>
      <c r="C15" s="11" t="s">
        <v>124</v>
      </c>
      <c r="D15" s="11" t="s">
        <v>125</v>
      </c>
      <c r="E15" s="11" t="s">
        <v>126</v>
      </c>
      <c r="F15" s="11" t="s">
        <v>127</v>
      </c>
      <c r="G15" s="13" t="s">
        <v>119</v>
      </c>
      <c r="H15" s="14" t="n">
        <v>1</v>
      </c>
      <c r="I15" s="14" t="n">
        <v>1</v>
      </c>
      <c r="J15" s="14" t="n">
        <v>1</v>
      </c>
      <c r="K15" s="15"/>
    </row>
    <row r="16" customFormat="false" ht="75" hidden="false" customHeight="true" outlineLevel="0" collapsed="false">
      <c r="A16" s="11" t="n">
        <v>15</v>
      </c>
      <c r="B16" s="19" t="s">
        <v>130</v>
      </c>
      <c r="C16" s="11" t="s">
        <v>59</v>
      </c>
      <c r="D16" s="11" t="s">
        <v>131</v>
      </c>
      <c r="E16" s="11" t="s">
        <v>132</v>
      </c>
      <c r="F16" s="11" t="s">
        <v>88</v>
      </c>
      <c r="G16" s="13" t="s">
        <v>170</v>
      </c>
      <c r="H16" s="14" t="n">
        <v>1</v>
      </c>
      <c r="I16" s="14" t="n">
        <v>1</v>
      </c>
      <c r="J16" s="14" t="n">
        <v>1</v>
      </c>
      <c r="K16" s="15"/>
    </row>
    <row r="18" customFormat="false" ht="15" hidden="false" customHeight="false" outlineLevel="0" collapsed="false">
      <c r="G18" s="20" t="s">
        <v>134</v>
      </c>
      <c r="H18" s="21" t="n">
        <f aca="false">SUM(H2:H16)</f>
        <v>14</v>
      </c>
      <c r="I18" s="21" t="n">
        <f aca="false">SUM(I2:I16)</f>
        <v>13</v>
      </c>
      <c r="J18" s="21" t="n">
        <f aca="false">SUM(J2:J16)</f>
        <v>15</v>
      </c>
    </row>
    <row r="19" customFormat="false" ht="15" hidden="false" customHeight="false" outlineLevel="0" collapsed="false">
      <c r="G19" s="20" t="s">
        <v>135</v>
      </c>
      <c r="H19" s="22" t="n">
        <f aca="false">IF(COUNT(H2:H16)=0,"",SUM(H2:H16)/COUNT(H2:H16))</f>
        <v>0.933333333333333</v>
      </c>
      <c r="I19" s="22" t="n">
        <f aca="false">IF(COUNT(I2:I16)=0,"",SUM(I2:I16)/COUNT(I2:I16))</f>
        <v>0.866666666666667</v>
      </c>
      <c r="J19" s="22" t="n">
        <f aca="false">IF(COUNT(J2:J16)=0,"",SUM(J2:J16)/COUNT(J2:J16))</f>
        <v>1</v>
      </c>
    </row>
    <row r="20" customFormat="false" ht="15" hidden="false" customHeight="false" outlineLevel="0" collapsed="false">
      <c r="G20" s="20" t="s">
        <v>136</v>
      </c>
      <c r="H20" s="21" t="n">
        <f aca="false">COUNT(H2:H16)</f>
        <v>15</v>
      </c>
      <c r="I20" s="21" t="n">
        <f aca="false">COUNT(I2:I16)</f>
        <v>15</v>
      </c>
      <c r="J20" s="21" t="n">
        <f aca="false">COUNT(J2:J16)</f>
        <v>15</v>
      </c>
    </row>
  </sheetData>
  <autoFilter ref="A1:K16"/>
  <conditionalFormatting sqref="H2:J16">
    <cfRule type="cellIs" priority="2" operator="equal" aboveAverage="0" equalAverage="0" bottom="0" percent="0" rank="0" text="" dxfId="11">
      <formula>1</formula>
    </cfRule>
    <cfRule type="cellIs" priority="3" operator="equal" aboveAverage="0" equalAverage="0" bottom="0" percent="0" rank="0" text="" dxfId="12">
      <formula>0</formula>
    </cfRule>
  </conditionalFormatting>
  <dataValidations count="1">
    <dataValidation allowBlank="true" error="Введите 0 или 1" errorStyle="stop" errorTitle="Только 0 или 1" operator="between" showDropDown="false" showErrorMessage="true" showInputMessage="false" sqref="H2:J16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G11" activePane="bottomRight" state="frozen"/>
      <selection pane="topLeft" activeCell="A1" activeCellId="0" sqref="A1"/>
      <selection pane="topRight" activeCell="G1" activeCellId="0" sqref="G1"/>
      <selection pane="bottomLeft" activeCell="A11" activeCellId="0" sqref="A11"/>
      <selection pane="bottomRight" activeCell="D23" activeCellId="0" sqref="D2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48"/>
    <col collapsed="false" customWidth="true" hidden="false" outlineLevel="0" max="6" min="6" style="0" width="32"/>
    <col collapsed="false" customWidth="true" hidden="false" outlineLevel="0" max="7" min="7" style="0" width="45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32"/>
  </cols>
  <sheetData>
    <row r="1" customFormat="false" ht="25.5" hidden="false" customHeight="true" outlineLevel="0" collapsed="false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32</v>
      </c>
      <c r="I1" s="4" t="s">
        <v>33</v>
      </c>
      <c r="J1" s="4" t="s">
        <v>34</v>
      </c>
      <c r="K1" s="4" t="s">
        <v>57</v>
      </c>
    </row>
    <row r="2" customFormat="false" ht="51" hidden="false" customHeight="true" outlineLevel="0" collapsed="false">
      <c r="A2" s="11" t="n">
        <v>1</v>
      </c>
      <c r="B2" s="12" t="s">
        <v>58</v>
      </c>
      <c r="C2" s="11" t="s">
        <v>59</v>
      </c>
      <c r="D2" s="11" t="s">
        <v>60</v>
      </c>
      <c r="E2" s="11" t="s">
        <v>61</v>
      </c>
      <c r="F2" s="11" t="s">
        <v>62</v>
      </c>
      <c r="G2" s="13" t="s">
        <v>63</v>
      </c>
      <c r="H2" s="14" t="n">
        <v>1</v>
      </c>
      <c r="I2" s="14" t="n">
        <v>1</v>
      </c>
      <c r="J2" s="14" t="n">
        <v>1</v>
      </c>
      <c r="K2" s="15"/>
    </row>
    <row r="3" customFormat="false" ht="51" hidden="false" customHeight="true" outlineLevel="0" collapsed="false">
      <c r="A3" s="11" t="n">
        <v>2</v>
      </c>
      <c r="B3" s="12" t="s">
        <v>58</v>
      </c>
      <c r="C3" s="11" t="s">
        <v>64</v>
      </c>
      <c r="D3" s="11" t="s">
        <v>65</v>
      </c>
      <c r="E3" s="11" t="s">
        <v>66</v>
      </c>
      <c r="F3" s="11" t="s">
        <v>67</v>
      </c>
      <c r="G3" s="13" t="s">
        <v>68</v>
      </c>
      <c r="H3" s="14" t="n">
        <v>1</v>
      </c>
      <c r="I3" s="14" t="n">
        <v>1</v>
      </c>
      <c r="J3" s="14" t="n">
        <v>1</v>
      </c>
      <c r="K3" s="15"/>
    </row>
    <row r="4" customFormat="false" ht="89.25" hidden="false" customHeight="true" outlineLevel="0" collapsed="false">
      <c r="A4" s="11" t="n">
        <v>3</v>
      </c>
      <c r="B4" s="12" t="s">
        <v>58</v>
      </c>
      <c r="C4" s="11" t="s">
        <v>69</v>
      </c>
      <c r="D4" s="11" t="s">
        <v>70</v>
      </c>
      <c r="E4" s="11" t="s">
        <v>71</v>
      </c>
      <c r="F4" s="11" t="s">
        <v>72</v>
      </c>
      <c r="G4" s="13" t="s">
        <v>189</v>
      </c>
      <c r="H4" s="14" t="n">
        <v>1</v>
      </c>
      <c r="I4" s="14" t="n">
        <v>1</v>
      </c>
      <c r="J4" s="14" t="n">
        <v>1</v>
      </c>
      <c r="K4" s="15"/>
    </row>
    <row r="5" customFormat="false" ht="51" hidden="false" customHeight="true" outlineLevel="0" collapsed="false">
      <c r="A5" s="11" t="n">
        <v>4</v>
      </c>
      <c r="B5" s="12" t="s">
        <v>58</v>
      </c>
      <c r="C5" s="11" t="s">
        <v>74</v>
      </c>
      <c r="D5" s="11" t="s">
        <v>75</v>
      </c>
      <c r="E5" s="11" t="s">
        <v>76</v>
      </c>
      <c r="F5" s="11" t="s">
        <v>77</v>
      </c>
      <c r="G5" s="13" t="s">
        <v>190</v>
      </c>
      <c r="H5" s="14" t="n">
        <v>1</v>
      </c>
      <c r="I5" s="14" t="n">
        <v>1</v>
      </c>
      <c r="J5" s="14" t="n">
        <v>1</v>
      </c>
      <c r="K5" s="15"/>
    </row>
    <row r="6" customFormat="false" ht="51" hidden="false" customHeight="true" outlineLevel="0" collapsed="false">
      <c r="A6" s="11" t="n">
        <v>5</v>
      </c>
      <c r="B6" s="12" t="s">
        <v>58</v>
      </c>
      <c r="C6" s="11" t="s">
        <v>79</v>
      </c>
      <c r="D6" s="11" t="s">
        <v>80</v>
      </c>
      <c r="E6" s="11" t="s">
        <v>81</v>
      </c>
      <c r="F6" s="11" t="s">
        <v>82</v>
      </c>
      <c r="G6" s="13" t="s">
        <v>83</v>
      </c>
      <c r="H6" s="14" t="n">
        <v>1</v>
      </c>
      <c r="I6" s="14" t="n">
        <v>1</v>
      </c>
      <c r="J6" s="14" t="n">
        <v>1</v>
      </c>
      <c r="K6" s="15"/>
    </row>
    <row r="7" customFormat="false" ht="63.75" hidden="false" customHeight="true" outlineLevel="0" collapsed="false">
      <c r="A7" s="11" t="n">
        <v>6</v>
      </c>
      <c r="B7" s="16" t="s">
        <v>84</v>
      </c>
      <c r="C7" s="11" t="s">
        <v>85</v>
      </c>
      <c r="D7" s="11" t="s">
        <v>86</v>
      </c>
      <c r="E7" s="11" t="s">
        <v>87</v>
      </c>
      <c r="F7" s="11" t="s">
        <v>88</v>
      </c>
      <c r="G7" s="13" t="s">
        <v>89</v>
      </c>
      <c r="H7" s="14" t="n">
        <v>1</v>
      </c>
      <c r="I7" s="14" t="n">
        <v>1</v>
      </c>
      <c r="J7" s="14" t="n">
        <v>1</v>
      </c>
      <c r="K7" s="15"/>
    </row>
    <row r="8" customFormat="false" ht="51" hidden="false" customHeight="true" outlineLevel="0" collapsed="false">
      <c r="A8" s="11" t="n">
        <v>7</v>
      </c>
      <c r="B8" s="16" t="s">
        <v>84</v>
      </c>
      <c r="C8" s="11" t="s">
        <v>90</v>
      </c>
      <c r="D8" s="11" t="s">
        <v>91</v>
      </c>
      <c r="E8" s="11" t="s">
        <v>92</v>
      </c>
      <c r="F8" s="11" t="s">
        <v>82</v>
      </c>
      <c r="G8" s="13" t="s">
        <v>93</v>
      </c>
      <c r="H8" s="14" t="n">
        <v>1</v>
      </c>
      <c r="I8" s="14" t="n">
        <v>1</v>
      </c>
      <c r="J8" s="14" t="n">
        <v>1</v>
      </c>
      <c r="K8" s="15"/>
    </row>
    <row r="9" customFormat="false" ht="102" hidden="false" customHeight="true" outlineLevel="0" collapsed="false">
      <c r="A9" s="11" t="n">
        <v>8</v>
      </c>
      <c r="B9" s="16" t="s">
        <v>84</v>
      </c>
      <c r="C9" s="11" t="s">
        <v>94</v>
      </c>
      <c r="D9" s="11" t="s">
        <v>95</v>
      </c>
      <c r="E9" s="11" t="s">
        <v>96</v>
      </c>
      <c r="F9" s="11" t="s">
        <v>97</v>
      </c>
      <c r="G9" s="13" t="s">
        <v>98</v>
      </c>
      <c r="H9" s="14" t="n">
        <v>1</v>
      </c>
      <c r="I9" s="14" t="n">
        <v>1</v>
      </c>
      <c r="J9" s="14" t="n">
        <v>1</v>
      </c>
      <c r="K9" s="15"/>
    </row>
    <row r="10" customFormat="false" ht="191.25" hidden="false" customHeight="true" outlineLevel="0" collapsed="false">
      <c r="A10" s="11" t="n">
        <v>9</v>
      </c>
      <c r="B10" s="17" t="s">
        <v>99</v>
      </c>
      <c r="C10" s="11" t="s">
        <v>100</v>
      </c>
      <c r="D10" s="11" t="s">
        <v>101</v>
      </c>
      <c r="E10" s="11" t="s">
        <v>102</v>
      </c>
      <c r="F10" s="11" t="s">
        <v>103</v>
      </c>
      <c r="G10" s="13" t="s">
        <v>191</v>
      </c>
      <c r="H10" s="14" t="n">
        <v>0</v>
      </c>
      <c r="I10" s="14" t="n">
        <v>0</v>
      </c>
      <c r="J10" s="14" t="n">
        <v>1</v>
      </c>
      <c r="K10" s="15" t="s">
        <v>192</v>
      </c>
    </row>
    <row r="11" customFormat="false" ht="127.5" hidden="false" customHeight="true" outlineLevel="0" collapsed="false">
      <c r="A11" s="11" t="n">
        <v>10</v>
      </c>
      <c r="B11" s="17" t="s">
        <v>99</v>
      </c>
      <c r="C11" s="11" t="s">
        <v>106</v>
      </c>
      <c r="D11" s="11" t="s">
        <v>107</v>
      </c>
      <c r="E11" s="11" t="s">
        <v>108</v>
      </c>
      <c r="F11" s="11" t="s">
        <v>109</v>
      </c>
      <c r="G11" s="13" t="s">
        <v>193</v>
      </c>
      <c r="H11" s="14" t="n">
        <v>1</v>
      </c>
      <c r="I11" s="14" t="n">
        <v>1</v>
      </c>
      <c r="J11" s="14" t="n">
        <v>1</v>
      </c>
      <c r="K11" s="15"/>
    </row>
    <row r="12" customFormat="false" ht="153" hidden="false" customHeight="true" outlineLevel="0" collapsed="false">
      <c r="A12" s="11" t="n">
        <v>11</v>
      </c>
      <c r="B12" s="17" t="s">
        <v>99</v>
      </c>
      <c r="C12" s="11" t="s">
        <v>111</v>
      </c>
      <c r="D12" s="11" t="s">
        <v>112</v>
      </c>
      <c r="E12" s="11" t="s">
        <v>113</v>
      </c>
      <c r="F12" s="11" t="s">
        <v>114</v>
      </c>
      <c r="G12" s="13" t="s">
        <v>194</v>
      </c>
      <c r="H12" s="14" t="n">
        <v>1</v>
      </c>
      <c r="I12" s="14" t="n">
        <v>1</v>
      </c>
      <c r="J12" s="14" t="n">
        <v>1</v>
      </c>
      <c r="K12" s="15"/>
    </row>
    <row r="13" customFormat="false" ht="25.5" hidden="false" customHeight="true" outlineLevel="0" collapsed="false">
      <c r="A13" s="11" t="n">
        <v>12</v>
      </c>
      <c r="B13" s="18" t="s">
        <v>116</v>
      </c>
      <c r="C13" s="11" t="s">
        <v>117</v>
      </c>
      <c r="D13" s="11" t="s">
        <v>118</v>
      </c>
      <c r="E13" s="11" t="s">
        <v>119</v>
      </c>
      <c r="F13" s="11" t="s">
        <v>120</v>
      </c>
      <c r="G13" s="13" t="s">
        <v>119</v>
      </c>
      <c r="H13" s="14" t="n">
        <v>1</v>
      </c>
      <c r="I13" s="14" t="n">
        <v>1</v>
      </c>
      <c r="J13" s="14" t="n">
        <v>1</v>
      </c>
      <c r="K13" s="15"/>
    </row>
    <row r="14" customFormat="false" ht="25.5" hidden="false" customHeight="true" outlineLevel="0" collapsed="false">
      <c r="A14" s="11" t="n">
        <v>13</v>
      </c>
      <c r="B14" s="18" t="s">
        <v>116</v>
      </c>
      <c r="C14" s="11" t="s">
        <v>121</v>
      </c>
      <c r="D14" s="11" t="s">
        <v>122</v>
      </c>
      <c r="E14" s="11" t="s">
        <v>119</v>
      </c>
      <c r="F14" s="11" t="s">
        <v>120</v>
      </c>
      <c r="G14" s="13" t="s">
        <v>119</v>
      </c>
      <c r="H14" s="14" t="n">
        <v>1</v>
      </c>
      <c r="I14" s="14" t="n">
        <v>1</v>
      </c>
      <c r="J14" s="14" t="n">
        <v>1</v>
      </c>
      <c r="K14" s="15"/>
    </row>
    <row r="15" customFormat="false" ht="51" hidden="false" customHeight="true" outlineLevel="0" collapsed="false">
      <c r="A15" s="11" t="n">
        <v>14</v>
      </c>
      <c r="B15" s="18" t="s">
        <v>123</v>
      </c>
      <c r="C15" s="11" t="s">
        <v>124</v>
      </c>
      <c r="D15" s="11" t="s">
        <v>125</v>
      </c>
      <c r="E15" s="11" t="s">
        <v>126</v>
      </c>
      <c r="F15" s="11" t="s">
        <v>127</v>
      </c>
      <c r="G15" s="13" t="s">
        <v>119</v>
      </c>
      <c r="H15" s="14" t="n">
        <v>1</v>
      </c>
      <c r="I15" s="14" t="n">
        <v>1</v>
      </c>
      <c r="J15" s="14" t="n">
        <v>1</v>
      </c>
      <c r="K15" s="15" t="s">
        <v>195</v>
      </c>
    </row>
    <row r="16" customFormat="false" ht="75" hidden="false" customHeight="true" outlineLevel="0" collapsed="false">
      <c r="A16" s="11" t="n">
        <v>15</v>
      </c>
      <c r="B16" s="19" t="s">
        <v>130</v>
      </c>
      <c r="C16" s="11" t="s">
        <v>59</v>
      </c>
      <c r="D16" s="11" t="s">
        <v>131</v>
      </c>
      <c r="E16" s="11" t="s">
        <v>132</v>
      </c>
      <c r="F16" s="11" t="s">
        <v>88</v>
      </c>
      <c r="G16" s="13" t="s">
        <v>170</v>
      </c>
      <c r="H16" s="14" t="n">
        <v>1</v>
      </c>
      <c r="I16" s="14" t="n">
        <v>1</v>
      </c>
      <c r="J16" s="14" t="n">
        <v>1</v>
      </c>
      <c r="K16" s="15"/>
    </row>
    <row r="18" customFormat="false" ht="15" hidden="false" customHeight="false" outlineLevel="0" collapsed="false">
      <c r="G18" s="20" t="s">
        <v>134</v>
      </c>
      <c r="H18" s="21" t="n">
        <f aca="false">SUM(H2:H16)</f>
        <v>14</v>
      </c>
      <c r="I18" s="21" t="n">
        <f aca="false">SUM(I2:I16)</f>
        <v>14</v>
      </c>
      <c r="J18" s="21" t="n">
        <f aca="false">SUM(J2:J16)</f>
        <v>15</v>
      </c>
    </row>
    <row r="19" customFormat="false" ht="15" hidden="false" customHeight="false" outlineLevel="0" collapsed="false">
      <c r="G19" s="20" t="s">
        <v>135</v>
      </c>
      <c r="H19" s="22" t="n">
        <f aca="false">IF(COUNT(H2:H16)=0,"",SUM(H2:H16)/COUNT(H2:H16))</f>
        <v>0.933333333333333</v>
      </c>
      <c r="I19" s="22" t="n">
        <f aca="false">IF(COUNT(I2:I16)=0,"",SUM(I2:I16)/COUNT(I2:I16))</f>
        <v>0.933333333333333</v>
      </c>
      <c r="J19" s="22" t="n">
        <f aca="false">IF(COUNT(J2:J16)=0,"",SUM(J2:J16)/COUNT(J2:J16))</f>
        <v>1</v>
      </c>
    </row>
    <row r="20" customFormat="false" ht="15" hidden="false" customHeight="false" outlineLevel="0" collapsed="false">
      <c r="G20" s="20" t="s">
        <v>136</v>
      </c>
      <c r="H20" s="21" t="n">
        <f aca="false">COUNT(H2:H16)</f>
        <v>15</v>
      </c>
      <c r="I20" s="21" t="n">
        <f aca="false">COUNT(I2:I16)</f>
        <v>15</v>
      </c>
      <c r="J20" s="21" t="n">
        <f aca="false">COUNT(J2:J16)</f>
        <v>15</v>
      </c>
    </row>
  </sheetData>
  <autoFilter ref="A1:K16"/>
  <conditionalFormatting sqref="H2:J16">
    <cfRule type="cellIs" priority="2" operator="equal" aboveAverage="0" equalAverage="0" bottom="0" percent="0" rank="0" text="" dxfId="11">
      <formula>1</formula>
    </cfRule>
    <cfRule type="cellIs" priority="3" operator="equal" aboveAverage="0" equalAverage="0" bottom="0" percent="0" rank="0" text="" dxfId="12">
      <formula>0</formula>
    </cfRule>
  </conditionalFormatting>
  <dataValidations count="1">
    <dataValidation allowBlank="true" error="Введите 0 или 1" errorStyle="stop" errorTitle="Только 0 или 1" operator="between" showDropDown="false" showErrorMessage="true" showInputMessage="false" sqref="H2:J16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G8" activePane="bottomRight" state="frozen"/>
      <selection pane="topLeft" activeCell="A1" activeCellId="0" sqref="A1"/>
      <selection pane="topRight" activeCell="G1" activeCellId="0" sqref="G1"/>
      <selection pane="bottomLeft" activeCell="A8" activeCellId="0" sqref="A8"/>
      <selection pane="bottomRight" activeCell="D16" activeCellId="0" sqref="D1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48"/>
    <col collapsed="false" customWidth="true" hidden="false" outlineLevel="0" max="6" min="6" style="0" width="32"/>
    <col collapsed="false" customWidth="true" hidden="false" outlineLevel="0" max="7" min="7" style="0" width="45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32"/>
  </cols>
  <sheetData>
    <row r="1" customFormat="false" ht="25.5" hidden="false" customHeight="true" outlineLevel="0" collapsed="false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32</v>
      </c>
      <c r="I1" s="4" t="s">
        <v>33</v>
      </c>
      <c r="J1" s="4" t="s">
        <v>34</v>
      </c>
      <c r="K1" s="4" t="s">
        <v>57</v>
      </c>
    </row>
    <row r="2" customFormat="false" ht="51" hidden="false" customHeight="true" outlineLevel="0" collapsed="false">
      <c r="A2" s="11" t="n">
        <v>1</v>
      </c>
      <c r="B2" s="12" t="s">
        <v>58</v>
      </c>
      <c r="C2" s="11" t="s">
        <v>59</v>
      </c>
      <c r="D2" s="11" t="s">
        <v>60</v>
      </c>
      <c r="E2" s="11" t="s">
        <v>61</v>
      </c>
      <c r="F2" s="11" t="s">
        <v>62</v>
      </c>
      <c r="G2" s="13" t="s">
        <v>63</v>
      </c>
      <c r="H2" s="14" t="n">
        <v>1</v>
      </c>
      <c r="I2" s="14" t="n">
        <v>1</v>
      </c>
      <c r="J2" s="14" t="n">
        <v>1</v>
      </c>
      <c r="K2" s="15"/>
    </row>
    <row r="3" customFormat="false" ht="51" hidden="false" customHeight="true" outlineLevel="0" collapsed="false">
      <c r="A3" s="11" t="n">
        <v>2</v>
      </c>
      <c r="B3" s="12" t="s">
        <v>58</v>
      </c>
      <c r="C3" s="11" t="s">
        <v>64</v>
      </c>
      <c r="D3" s="11" t="s">
        <v>65</v>
      </c>
      <c r="E3" s="11" t="s">
        <v>66</v>
      </c>
      <c r="F3" s="11" t="s">
        <v>67</v>
      </c>
      <c r="G3" s="13" t="s">
        <v>68</v>
      </c>
      <c r="H3" s="14" t="n">
        <v>1</v>
      </c>
      <c r="I3" s="14" t="n">
        <v>1</v>
      </c>
      <c r="J3" s="14" t="n">
        <v>1</v>
      </c>
      <c r="K3" s="15"/>
    </row>
    <row r="4" customFormat="false" ht="51" hidden="false" customHeight="true" outlineLevel="0" collapsed="false">
      <c r="A4" s="11" t="n">
        <v>3</v>
      </c>
      <c r="B4" s="12" t="s">
        <v>58</v>
      </c>
      <c r="C4" s="11" t="s">
        <v>69</v>
      </c>
      <c r="D4" s="11" t="s">
        <v>70</v>
      </c>
      <c r="E4" s="11" t="s">
        <v>71</v>
      </c>
      <c r="F4" s="11" t="s">
        <v>72</v>
      </c>
      <c r="G4" s="13" t="s">
        <v>152</v>
      </c>
      <c r="H4" s="14" t="n">
        <v>1</v>
      </c>
      <c r="I4" s="14" t="n">
        <v>1</v>
      </c>
      <c r="J4" s="14" t="n">
        <v>1</v>
      </c>
      <c r="K4" s="15"/>
    </row>
    <row r="5" customFormat="false" ht="51" hidden="false" customHeight="true" outlineLevel="0" collapsed="false">
      <c r="A5" s="11" t="n">
        <v>4</v>
      </c>
      <c r="B5" s="12" t="s">
        <v>58</v>
      </c>
      <c r="C5" s="11" t="s">
        <v>74</v>
      </c>
      <c r="D5" s="11" t="s">
        <v>75</v>
      </c>
      <c r="E5" s="11" t="s">
        <v>76</v>
      </c>
      <c r="F5" s="11" t="s">
        <v>77</v>
      </c>
      <c r="G5" s="13" t="s">
        <v>196</v>
      </c>
      <c r="H5" s="14" t="n">
        <v>1</v>
      </c>
      <c r="I5" s="14" t="n">
        <v>1</v>
      </c>
      <c r="J5" s="14" t="n">
        <v>1</v>
      </c>
      <c r="K5" s="15"/>
    </row>
    <row r="6" customFormat="false" ht="51" hidden="false" customHeight="true" outlineLevel="0" collapsed="false">
      <c r="A6" s="11" t="n">
        <v>5</v>
      </c>
      <c r="B6" s="12" t="s">
        <v>58</v>
      </c>
      <c r="C6" s="11" t="s">
        <v>79</v>
      </c>
      <c r="D6" s="11" t="s">
        <v>80</v>
      </c>
      <c r="E6" s="11" t="s">
        <v>81</v>
      </c>
      <c r="F6" s="11" t="s">
        <v>82</v>
      </c>
      <c r="G6" s="13" t="s">
        <v>83</v>
      </c>
      <c r="H6" s="14" t="n">
        <v>1</v>
      </c>
      <c r="I6" s="14" t="n">
        <v>1</v>
      </c>
      <c r="J6" s="14" t="n">
        <v>1</v>
      </c>
      <c r="K6" s="15"/>
    </row>
    <row r="7" customFormat="false" ht="63.75" hidden="false" customHeight="true" outlineLevel="0" collapsed="false">
      <c r="A7" s="11" t="n">
        <v>6</v>
      </c>
      <c r="B7" s="16" t="s">
        <v>84</v>
      </c>
      <c r="C7" s="11" t="s">
        <v>85</v>
      </c>
      <c r="D7" s="11" t="s">
        <v>86</v>
      </c>
      <c r="E7" s="11" t="s">
        <v>87</v>
      </c>
      <c r="F7" s="11" t="s">
        <v>88</v>
      </c>
      <c r="G7" s="13" t="s">
        <v>197</v>
      </c>
      <c r="H7" s="14" t="n">
        <v>1</v>
      </c>
      <c r="I7" s="14" t="n">
        <v>1</v>
      </c>
      <c r="J7" s="14" t="n">
        <v>1</v>
      </c>
      <c r="K7" s="15"/>
    </row>
    <row r="8" customFormat="false" ht="51" hidden="false" customHeight="true" outlineLevel="0" collapsed="false">
      <c r="A8" s="11" t="n">
        <v>7</v>
      </c>
      <c r="B8" s="16" t="s">
        <v>84</v>
      </c>
      <c r="C8" s="11" t="s">
        <v>90</v>
      </c>
      <c r="D8" s="11" t="s">
        <v>91</v>
      </c>
      <c r="E8" s="11" t="s">
        <v>92</v>
      </c>
      <c r="F8" s="11" t="s">
        <v>82</v>
      </c>
      <c r="G8" s="13" t="s">
        <v>93</v>
      </c>
      <c r="H8" s="14" t="n">
        <v>1</v>
      </c>
      <c r="I8" s="14" t="n">
        <v>1</v>
      </c>
      <c r="J8" s="14" t="n">
        <v>1</v>
      </c>
      <c r="K8" s="15"/>
    </row>
    <row r="9" customFormat="false" ht="63.75" hidden="false" customHeight="true" outlineLevel="0" collapsed="false">
      <c r="A9" s="11" t="n">
        <v>8</v>
      </c>
      <c r="B9" s="16" t="s">
        <v>84</v>
      </c>
      <c r="C9" s="11" t="s">
        <v>94</v>
      </c>
      <c r="D9" s="11" t="s">
        <v>95</v>
      </c>
      <c r="E9" s="11" t="s">
        <v>96</v>
      </c>
      <c r="F9" s="11" t="s">
        <v>97</v>
      </c>
      <c r="G9" s="13" t="s">
        <v>98</v>
      </c>
      <c r="H9" s="14" t="n">
        <v>1</v>
      </c>
      <c r="I9" s="14" t="n">
        <v>1</v>
      </c>
      <c r="J9" s="14" t="n">
        <v>1</v>
      </c>
      <c r="K9" s="15"/>
    </row>
    <row r="10" customFormat="false" ht="140.25" hidden="false" customHeight="true" outlineLevel="0" collapsed="false">
      <c r="A10" s="11" t="n">
        <v>9</v>
      </c>
      <c r="B10" s="17" t="s">
        <v>99</v>
      </c>
      <c r="C10" s="11" t="s">
        <v>100</v>
      </c>
      <c r="D10" s="11" t="s">
        <v>101</v>
      </c>
      <c r="E10" s="11" t="s">
        <v>102</v>
      </c>
      <c r="F10" s="11" t="s">
        <v>103</v>
      </c>
      <c r="G10" s="13" t="s">
        <v>198</v>
      </c>
      <c r="H10" s="14" t="n">
        <v>0</v>
      </c>
      <c r="I10" s="14" t="n">
        <v>0</v>
      </c>
      <c r="J10" s="14" t="n">
        <v>1</v>
      </c>
      <c r="K10" s="15" t="s">
        <v>192</v>
      </c>
    </row>
    <row r="11" customFormat="false" ht="76.5" hidden="false" customHeight="true" outlineLevel="0" collapsed="false">
      <c r="A11" s="11" t="n">
        <v>10</v>
      </c>
      <c r="B11" s="17" t="s">
        <v>99</v>
      </c>
      <c r="C11" s="11" t="s">
        <v>106</v>
      </c>
      <c r="D11" s="11" t="s">
        <v>107</v>
      </c>
      <c r="E11" s="11" t="s">
        <v>108</v>
      </c>
      <c r="F11" s="11" t="s">
        <v>109</v>
      </c>
      <c r="G11" s="13" t="s">
        <v>193</v>
      </c>
      <c r="H11" s="14" t="n">
        <v>1</v>
      </c>
      <c r="I11" s="14" t="n">
        <v>1</v>
      </c>
      <c r="J11" s="14" t="n">
        <v>1</v>
      </c>
      <c r="K11" s="15"/>
    </row>
    <row r="12" customFormat="false" ht="153" hidden="false" customHeight="true" outlineLevel="0" collapsed="false">
      <c r="A12" s="11" t="n">
        <v>11</v>
      </c>
      <c r="B12" s="17" t="s">
        <v>99</v>
      </c>
      <c r="C12" s="11" t="s">
        <v>111</v>
      </c>
      <c r="D12" s="11" t="s">
        <v>112</v>
      </c>
      <c r="E12" s="11" t="s">
        <v>113</v>
      </c>
      <c r="F12" s="11" t="s">
        <v>114</v>
      </c>
      <c r="G12" s="13" t="s">
        <v>199</v>
      </c>
      <c r="H12" s="14" t="n">
        <v>1</v>
      </c>
      <c r="I12" s="14" t="n">
        <v>1</v>
      </c>
      <c r="J12" s="14" t="n">
        <v>1</v>
      </c>
      <c r="K12" s="15"/>
    </row>
    <row r="13" customFormat="false" ht="25.5" hidden="false" customHeight="true" outlineLevel="0" collapsed="false">
      <c r="A13" s="11" t="n">
        <v>12</v>
      </c>
      <c r="B13" s="18" t="s">
        <v>116</v>
      </c>
      <c r="C13" s="11" t="s">
        <v>117</v>
      </c>
      <c r="D13" s="11" t="s">
        <v>118</v>
      </c>
      <c r="E13" s="11" t="s">
        <v>119</v>
      </c>
      <c r="F13" s="11" t="s">
        <v>120</v>
      </c>
      <c r="G13" s="13" t="s">
        <v>119</v>
      </c>
      <c r="H13" s="14" t="n">
        <v>1</v>
      </c>
      <c r="I13" s="14" t="n">
        <v>1</v>
      </c>
      <c r="J13" s="14" t="n">
        <v>1</v>
      </c>
      <c r="K13" s="15"/>
    </row>
    <row r="14" customFormat="false" ht="25.5" hidden="false" customHeight="true" outlineLevel="0" collapsed="false">
      <c r="A14" s="11" t="n">
        <v>13</v>
      </c>
      <c r="B14" s="18" t="s">
        <v>116</v>
      </c>
      <c r="C14" s="11" t="s">
        <v>121</v>
      </c>
      <c r="D14" s="11" t="s">
        <v>122</v>
      </c>
      <c r="E14" s="11" t="s">
        <v>119</v>
      </c>
      <c r="F14" s="11" t="s">
        <v>120</v>
      </c>
      <c r="G14" s="13" t="s">
        <v>119</v>
      </c>
      <c r="H14" s="14" t="n">
        <v>1</v>
      </c>
      <c r="I14" s="14" t="n">
        <v>1</v>
      </c>
      <c r="J14" s="14" t="n">
        <v>1</v>
      </c>
      <c r="K14" s="15"/>
    </row>
    <row r="15" customFormat="false" ht="51" hidden="false" customHeight="true" outlineLevel="0" collapsed="false">
      <c r="A15" s="11" t="n">
        <v>14</v>
      </c>
      <c r="B15" s="18" t="s">
        <v>123</v>
      </c>
      <c r="C15" s="11" t="s">
        <v>124</v>
      </c>
      <c r="D15" s="11" t="s">
        <v>125</v>
      </c>
      <c r="E15" s="11" t="s">
        <v>126</v>
      </c>
      <c r="F15" s="11" t="s">
        <v>127</v>
      </c>
      <c r="G15" s="13" t="s">
        <v>119</v>
      </c>
      <c r="H15" s="14" t="n">
        <v>1</v>
      </c>
      <c r="I15" s="14" t="n">
        <v>1</v>
      </c>
      <c r="J15" s="14" t="n">
        <v>1</v>
      </c>
      <c r="K15" s="15" t="s">
        <v>195</v>
      </c>
    </row>
    <row r="16" customFormat="false" ht="75" hidden="false" customHeight="true" outlineLevel="0" collapsed="false">
      <c r="A16" s="11" t="n">
        <v>15</v>
      </c>
      <c r="B16" s="19" t="s">
        <v>130</v>
      </c>
      <c r="C16" s="11" t="s">
        <v>59</v>
      </c>
      <c r="D16" s="11" t="s">
        <v>131</v>
      </c>
      <c r="E16" s="11" t="s">
        <v>132</v>
      </c>
      <c r="F16" s="11" t="s">
        <v>88</v>
      </c>
      <c r="G16" s="13" t="s">
        <v>170</v>
      </c>
      <c r="H16" s="14" t="n">
        <v>1</v>
      </c>
      <c r="I16" s="14" t="n">
        <v>1</v>
      </c>
      <c r="J16" s="14" t="n">
        <v>1</v>
      </c>
      <c r="K16" s="15"/>
    </row>
    <row r="18" customFormat="false" ht="15" hidden="false" customHeight="false" outlineLevel="0" collapsed="false">
      <c r="G18" s="20" t="s">
        <v>134</v>
      </c>
      <c r="H18" s="21" t="n">
        <f aca="false">SUM(H2:H16)</f>
        <v>14</v>
      </c>
      <c r="I18" s="21" t="n">
        <f aca="false">SUM(I2:I16)</f>
        <v>14</v>
      </c>
      <c r="J18" s="21" t="n">
        <f aca="false">SUM(J2:J16)</f>
        <v>15</v>
      </c>
    </row>
    <row r="19" customFormat="false" ht="15" hidden="false" customHeight="false" outlineLevel="0" collapsed="false">
      <c r="G19" s="20" t="s">
        <v>135</v>
      </c>
      <c r="H19" s="22" t="n">
        <f aca="false">IF(COUNT(H2:H16)=0,"",SUM(H2:H16)/COUNT(H2:H16))</f>
        <v>0.933333333333333</v>
      </c>
      <c r="I19" s="22" t="n">
        <f aca="false">IF(COUNT(I2:I16)=0,"",SUM(I2:I16)/COUNT(I2:I16))</f>
        <v>0.933333333333333</v>
      </c>
      <c r="J19" s="22" t="n">
        <f aca="false">IF(COUNT(J2:J16)=0,"",SUM(J2:J16)/COUNT(J2:J16))</f>
        <v>1</v>
      </c>
    </row>
    <row r="20" customFormat="false" ht="15" hidden="false" customHeight="false" outlineLevel="0" collapsed="false">
      <c r="G20" s="20" t="s">
        <v>136</v>
      </c>
      <c r="H20" s="21" t="n">
        <f aca="false">COUNT(H2:H16)</f>
        <v>15</v>
      </c>
      <c r="I20" s="21" t="n">
        <f aca="false">COUNT(I2:I16)</f>
        <v>15</v>
      </c>
      <c r="J20" s="21" t="n">
        <f aca="false">COUNT(J2:J16)</f>
        <v>15</v>
      </c>
    </row>
  </sheetData>
  <autoFilter ref="A1:K16"/>
  <conditionalFormatting sqref="H2:J16">
    <cfRule type="cellIs" priority="2" operator="equal" aboveAverage="0" equalAverage="0" bottom="0" percent="0" rank="0" text="" dxfId="11">
      <formula>1</formula>
    </cfRule>
    <cfRule type="cellIs" priority="3" operator="equal" aboveAverage="0" equalAverage="0" bottom="0" percent="0" rank="0" text="" dxfId="12">
      <formula>0</formula>
    </cfRule>
  </conditionalFormatting>
  <dataValidations count="1">
    <dataValidation allowBlank="true" error="Введите 0 или 1" errorStyle="stop" errorTitle="Только 0 или 1" operator="between" showDropDown="false" showErrorMessage="true" showInputMessage="false" sqref="H2:J16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2026-10-05T10:38:03Z</dcterms:created>
  <dc:creator>openpyxl</dc:creator>
  <dc:description/>
  <dc:language>en-US</dc:language>
  <cp:lastModifiedBy>Max</cp:lastModifiedBy>
  <dcterms:modified xsi:type="dcterms:W3CDTF">2026-10-06T05:57:53Z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